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2135d1532bb04b/Desktop/academic dashboard/"/>
    </mc:Choice>
  </mc:AlternateContent>
  <xr:revisionPtr revIDLastSave="0" documentId="13_ncr:40000001_{EDD11294-C229-4315-A4C4-2DACFB39423D}" xr6:coauthVersionLast="47" xr6:coauthVersionMax="47" xr10:uidLastSave="{00000000-0000-0000-0000-000000000000}"/>
  <bookViews>
    <workbookView xWindow="-108" yWindow="-108" windowWidth="23256" windowHeight="13176" activeTab="6" xr2:uid="{794CE180-1EA7-43DE-817E-FCA3CF14725B}"/>
  </bookViews>
  <sheets>
    <sheet name="Sheet4" sheetId="4" r:id="rId1"/>
    <sheet name="Sheet5" sheetId="5" r:id="rId2"/>
    <sheet name="Dashboard" sheetId="6" r:id="rId3"/>
    <sheet name="Detail1" sheetId="8" r:id="rId4"/>
    <sheet name="Detail2" sheetId="9" r:id="rId5"/>
    <sheet name="Sheet2" sheetId="7" r:id="rId6"/>
    <sheet name="Sheet1" sheetId="1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D3" i="1" s="1"/>
  <c r="F4" i="1"/>
  <c r="D4" i="1" s="1"/>
  <c r="F5" i="1"/>
  <c r="D5" i="1" s="1"/>
  <c r="F6" i="1"/>
  <c r="D6" i="1" s="1"/>
  <c r="F7" i="1"/>
  <c r="D7" i="1" s="1"/>
  <c r="F8" i="1"/>
  <c r="D8" i="1" s="1"/>
  <c r="F9" i="1"/>
  <c r="D9" i="1" s="1"/>
  <c r="F10" i="1"/>
  <c r="D10" i="1" s="1"/>
  <c r="F11" i="1"/>
  <c r="D11" i="1" s="1"/>
  <c r="F12" i="1"/>
  <c r="D12" i="1" s="1"/>
  <c r="F13" i="1"/>
  <c r="D13" i="1" s="1"/>
  <c r="F14" i="1"/>
  <c r="D14" i="1" s="1"/>
  <c r="F15" i="1"/>
  <c r="D15" i="1" s="1"/>
  <c r="F16" i="1"/>
  <c r="D16" i="1" s="1"/>
  <c r="F17" i="1"/>
  <c r="D17" i="1" s="1"/>
  <c r="F18" i="1"/>
  <c r="D18" i="1" s="1"/>
  <c r="F19" i="1"/>
  <c r="D19" i="1" s="1"/>
  <c r="F20" i="1"/>
  <c r="D20" i="1" s="1"/>
  <c r="F21" i="1"/>
  <c r="D21" i="1" s="1"/>
  <c r="F22" i="1"/>
  <c r="D22" i="1" s="1"/>
  <c r="F23" i="1"/>
  <c r="D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D31" i="1" s="1"/>
  <c r="F32" i="1"/>
  <c r="D32" i="1" s="1"/>
  <c r="F33" i="1"/>
  <c r="D33" i="1" s="1"/>
  <c r="F34" i="1"/>
  <c r="D34" i="1" s="1"/>
  <c r="F35" i="1"/>
  <c r="D35" i="1" s="1"/>
  <c r="F36" i="1"/>
  <c r="D36" i="1" s="1"/>
  <c r="F37" i="1"/>
  <c r="D37" i="1" s="1"/>
  <c r="F38" i="1"/>
  <c r="D38" i="1" s="1"/>
  <c r="F39" i="1"/>
  <c r="D39" i="1" s="1"/>
  <c r="F40" i="1"/>
  <c r="D40" i="1" s="1"/>
  <c r="F41" i="1"/>
  <c r="D41" i="1" s="1"/>
  <c r="F42" i="1"/>
  <c r="D42" i="1" s="1"/>
  <c r="F43" i="1"/>
  <c r="D43" i="1" s="1"/>
  <c r="F44" i="1"/>
  <c r="D44" i="1" s="1"/>
  <c r="F45" i="1"/>
  <c r="D45" i="1" s="1"/>
  <c r="J45" i="1" s="1"/>
  <c r="F46" i="1"/>
  <c r="D46" i="1" s="1"/>
  <c r="F47" i="1"/>
  <c r="D47" i="1" s="1"/>
  <c r="F48" i="1"/>
  <c r="D48" i="1" s="1"/>
  <c r="F49" i="1"/>
  <c r="D49" i="1" s="1"/>
  <c r="F50" i="1"/>
  <c r="D50" i="1" s="1"/>
  <c r="F51" i="1"/>
  <c r="D51" i="1" s="1"/>
  <c r="F52" i="1"/>
  <c r="D52" i="1" s="1"/>
  <c r="F53" i="1"/>
  <c r="D53" i="1" s="1"/>
  <c r="F54" i="1"/>
  <c r="D54" i="1" s="1"/>
  <c r="F55" i="1"/>
  <c r="D55" i="1" s="1"/>
  <c r="F56" i="1"/>
  <c r="D56" i="1" s="1"/>
  <c r="F57" i="1"/>
  <c r="D57" i="1" s="1"/>
  <c r="F58" i="1"/>
  <c r="D58" i="1" s="1"/>
  <c r="F59" i="1"/>
  <c r="D59" i="1" s="1"/>
  <c r="F60" i="1"/>
  <c r="D60" i="1" s="1"/>
  <c r="F61" i="1"/>
  <c r="D61" i="1" s="1"/>
  <c r="F62" i="1"/>
  <c r="D62" i="1" s="1"/>
  <c r="F63" i="1"/>
  <c r="D63" i="1" s="1"/>
  <c r="F64" i="1"/>
  <c r="D64" i="1" s="1"/>
  <c r="F65" i="1"/>
  <c r="D65" i="1" s="1"/>
  <c r="F66" i="1"/>
  <c r="D66" i="1" s="1"/>
  <c r="F67" i="1"/>
  <c r="D67" i="1" s="1"/>
  <c r="F68" i="1"/>
  <c r="D68" i="1" s="1"/>
  <c r="F69" i="1"/>
  <c r="D69" i="1" s="1"/>
  <c r="F70" i="1"/>
  <c r="D70" i="1" s="1"/>
  <c r="F71" i="1"/>
  <c r="D71" i="1" s="1"/>
  <c r="F72" i="1"/>
  <c r="D72" i="1" s="1"/>
  <c r="F73" i="1"/>
  <c r="D73" i="1" s="1"/>
  <c r="F74" i="1"/>
  <c r="D74" i="1" s="1"/>
  <c r="F75" i="1"/>
  <c r="D75" i="1" s="1"/>
  <c r="F76" i="1"/>
  <c r="D76" i="1" s="1"/>
  <c r="F77" i="1"/>
  <c r="D77" i="1" s="1"/>
  <c r="F78" i="1"/>
  <c r="D78" i="1" s="1"/>
  <c r="F79" i="1"/>
  <c r="D79" i="1" s="1"/>
  <c r="F80" i="1"/>
  <c r="D80" i="1" s="1"/>
  <c r="F81" i="1"/>
  <c r="D81" i="1" s="1"/>
  <c r="F82" i="1"/>
  <c r="D82" i="1" s="1"/>
  <c r="F83" i="1"/>
  <c r="D83" i="1" s="1"/>
  <c r="F84" i="1"/>
  <c r="D84" i="1" s="1"/>
  <c r="F85" i="1"/>
  <c r="D85" i="1" s="1"/>
  <c r="F86" i="1"/>
  <c r="D86" i="1" s="1"/>
  <c r="F87" i="1"/>
  <c r="D87" i="1" s="1"/>
  <c r="F88" i="1"/>
  <c r="D88" i="1" s="1"/>
  <c r="F89" i="1"/>
  <c r="D89" i="1" s="1"/>
  <c r="F90" i="1"/>
  <c r="D90" i="1" s="1"/>
  <c r="F91" i="1"/>
  <c r="D91" i="1" s="1"/>
  <c r="F92" i="1"/>
  <c r="D92" i="1" s="1"/>
  <c r="F93" i="1"/>
  <c r="D93" i="1" s="1"/>
  <c r="F94" i="1"/>
  <c r="D94" i="1" s="1"/>
  <c r="F95" i="1"/>
  <c r="D95" i="1" s="1"/>
  <c r="F96" i="1"/>
  <c r="D96" i="1" s="1"/>
  <c r="F97" i="1"/>
  <c r="D97" i="1" s="1"/>
  <c r="F98" i="1"/>
  <c r="D98" i="1" s="1"/>
  <c r="F99" i="1"/>
  <c r="D99" i="1" s="1"/>
  <c r="F100" i="1"/>
  <c r="D100" i="1" s="1"/>
  <c r="F101" i="1"/>
  <c r="D101" i="1" s="1"/>
  <c r="F102" i="1"/>
  <c r="D102" i="1" s="1"/>
  <c r="F103" i="1"/>
  <c r="D103" i="1" s="1"/>
  <c r="F104" i="1"/>
  <c r="D104" i="1" s="1"/>
  <c r="F105" i="1"/>
  <c r="D105" i="1" s="1"/>
  <c r="F106" i="1"/>
  <c r="D106" i="1" s="1"/>
  <c r="F107" i="1"/>
  <c r="D107" i="1" s="1"/>
  <c r="F108" i="1"/>
  <c r="D108" i="1" s="1"/>
  <c r="F109" i="1"/>
  <c r="D109" i="1" s="1"/>
  <c r="F110" i="1"/>
  <c r="D110" i="1" s="1"/>
  <c r="F111" i="1"/>
  <c r="D111" i="1" s="1"/>
  <c r="F112" i="1"/>
  <c r="D112" i="1" s="1"/>
  <c r="F113" i="1"/>
  <c r="D113" i="1" s="1"/>
  <c r="F114" i="1"/>
  <c r="D114" i="1" s="1"/>
  <c r="F115" i="1"/>
  <c r="D115" i="1" s="1"/>
  <c r="F116" i="1"/>
  <c r="D116" i="1" s="1"/>
  <c r="F117" i="1"/>
  <c r="D117" i="1" s="1"/>
  <c r="F118" i="1"/>
  <c r="D118" i="1" s="1"/>
  <c r="F119" i="1"/>
  <c r="D119" i="1" s="1"/>
  <c r="F120" i="1"/>
  <c r="D120" i="1" s="1"/>
  <c r="F121" i="1"/>
  <c r="D121" i="1" s="1"/>
  <c r="F122" i="1"/>
  <c r="D122" i="1" s="1"/>
  <c r="F123" i="1"/>
  <c r="D123" i="1" s="1"/>
  <c r="F124" i="1"/>
  <c r="D124" i="1" s="1"/>
  <c r="F125" i="1"/>
  <c r="D125" i="1" s="1"/>
  <c r="F126" i="1"/>
  <c r="D126" i="1" s="1"/>
  <c r="F127" i="1"/>
  <c r="D127" i="1" s="1"/>
  <c r="F128" i="1"/>
  <c r="D128" i="1" s="1"/>
  <c r="F129" i="1"/>
  <c r="D129" i="1" s="1"/>
  <c r="F130" i="1"/>
  <c r="D130" i="1" s="1"/>
  <c r="F131" i="1"/>
  <c r="D131" i="1" s="1"/>
  <c r="F132" i="1"/>
  <c r="D132" i="1" s="1"/>
  <c r="F133" i="1"/>
  <c r="D133" i="1" s="1"/>
  <c r="F134" i="1"/>
  <c r="D134" i="1" s="1"/>
  <c r="F135" i="1"/>
  <c r="D135" i="1" s="1"/>
  <c r="F136" i="1"/>
  <c r="D136" i="1" s="1"/>
  <c r="F137" i="1"/>
  <c r="D137" i="1" s="1"/>
  <c r="F138" i="1"/>
  <c r="D138" i="1" s="1"/>
  <c r="F139" i="1"/>
  <c r="D139" i="1" s="1"/>
  <c r="F140" i="1"/>
  <c r="D140" i="1" s="1"/>
  <c r="F141" i="1"/>
  <c r="D141" i="1" s="1"/>
  <c r="F142" i="1"/>
  <c r="D142" i="1" s="1"/>
  <c r="F143" i="1"/>
  <c r="D143" i="1" s="1"/>
  <c r="F144" i="1"/>
  <c r="D144" i="1" s="1"/>
  <c r="F145" i="1"/>
  <c r="D145" i="1" s="1"/>
  <c r="F146" i="1"/>
  <c r="D146" i="1" s="1"/>
  <c r="F147" i="1"/>
  <c r="D147" i="1" s="1"/>
  <c r="F148" i="1"/>
  <c r="D148" i="1" s="1"/>
  <c r="F149" i="1"/>
  <c r="D149" i="1" s="1"/>
  <c r="F150" i="1"/>
  <c r="D150" i="1" s="1"/>
  <c r="F151" i="1"/>
  <c r="D151" i="1" s="1"/>
  <c r="F152" i="1"/>
  <c r="D152" i="1" s="1"/>
  <c r="F153" i="1"/>
  <c r="D153" i="1" s="1"/>
  <c r="F154" i="1"/>
  <c r="D154" i="1" s="1"/>
  <c r="F155" i="1"/>
  <c r="D155" i="1" s="1"/>
  <c r="F156" i="1"/>
  <c r="D156" i="1" s="1"/>
  <c r="F157" i="1"/>
  <c r="D157" i="1" s="1"/>
  <c r="F158" i="1"/>
  <c r="D158" i="1" s="1"/>
  <c r="F159" i="1"/>
  <c r="D159" i="1" s="1"/>
  <c r="F160" i="1"/>
  <c r="D160" i="1" s="1"/>
  <c r="F161" i="1"/>
  <c r="D161" i="1" s="1"/>
  <c r="F162" i="1"/>
  <c r="D162" i="1" s="1"/>
  <c r="F163" i="1"/>
  <c r="D163" i="1" s="1"/>
  <c r="F164" i="1"/>
  <c r="D164" i="1" s="1"/>
  <c r="F165" i="1"/>
  <c r="D165" i="1" s="1"/>
  <c r="F166" i="1"/>
  <c r="D166" i="1" s="1"/>
  <c r="F167" i="1"/>
  <c r="D167" i="1" s="1"/>
  <c r="F168" i="1"/>
  <c r="D168" i="1" s="1"/>
  <c r="F169" i="1"/>
  <c r="D169" i="1" s="1"/>
  <c r="F170" i="1"/>
  <c r="D170" i="1" s="1"/>
  <c r="F171" i="1"/>
  <c r="D171" i="1" s="1"/>
  <c r="F172" i="1"/>
  <c r="D172" i="1" s="1"/>
  <c r="F173" i="1"/>
  <c r="D173" i="1" s="1"/>
  <c r="F174" i="1"/>
  <c r="D174" i="1" s="1"/>
  <c r="F175" i="1"/>
  <c r="D175" i="1" s="1"/>
  <c r="F176" i="1"/>
  <c r="D176" i="1" s="1"/>
  <c r="F177" i="1"/>
  <c r="D177" i="1" s="1"/>
  <c r="F178" i="1"/>
  <c r="D178" i="1" s="1"/>
  <c r="F179" i="1"/>
  <c r="D179" i="1" s="1"/>
  <c r="F180" i="1"/>
  <c r="D180" i="1" s="1"/>
  <c r="F181" i="1"/>
  <c r="D181" i="1" s="1"/>
  <c r="F182" i="1"/>
  <c r="D182" i="1" s="1"/>
  <c r="F183" i="1"/>
  <c r="D183" i="1" s="1"/>
  <c r="F184" i="1"/>
  <c r="D184" i="1" s="1"/>
  <c r="F185" i="1"/>
  <c r="D185" i="1" s="1"/>
  <c r="F186" i="1"/>
  <c r="D186" i="1" s="1"/>
  <c r="F187" i="1"/>
  <c r="D187" i="1" s="1"/>
  <c r="F188" i="1"/>
  <c r="D188" i="1" s="1"/>
  <c r="F189" i="1"/>
  <c r="D189" i="1" s="1"/>
  <c r="J189" i="1" s="1"/>
  <c r="F190" i="1"/>
  <c r="D190" i="1" s="1"/>
  <c r="F191" i="1"/>
  <c r="D191" i="1" s="1"/>
  <c r="F192" i="1"/>
  <c r="D192" i="1" s="1"/>
  <c r="F193" i="1"/>
  <c r="D193" i="1" s="1"/>
  <c r="F194" i="1"/>
  <c r="D194" i="1" s="1"/>
  <c r="F195" i="1"/>
  <c r="D195" i="1" s="1"/>
  <c r="F196" i="1"/>
  <c r="D196" i="1" s="1"/>
  <c r="F197" i="1"/>
  <c r="D197" i="1" s="1"/>
  <c r="F198" i="1"/>
  <c r="D198" i="1" s="1"/>
  <c r="F199" i="1"/>
  <c r="D199" i="1" s="1"/>
  <c r="F200" i="1"/>
  <c r="D200" i="1" s="1"/>
  <c r="F201" i="1"/>
  <c r="D201" i="1" s="1"/>
  <c r="F202" i="1"/>
  <c r="D202" i="1" s="1"/>
  <c r="F203" i="1"/>
  <c r="D203" i="1" s="1"/>
  <c r="F204" i="1"/>
  <c r="D204" i="1" s="1"/>
  <c r="F205" i="1"/>
  <c r="D205" i="1" s="1"/>
  <c r="F206" i="1"/>
  <c r="D206" i="1" s="1"/>
  <c r="F207" i="1"/>
  <c r="D207" i="1" s="1"/>
  <c r="F208" i="1"/>
  <c r="D208" i="1" s="1"/>
  <c r="F209" i="1"/>
  <c r="D209" i="1" s="1"/>
  <c r="F210" i="1"/>
  <c r="D210" i="1" s="1"/>
  <c r="F211" i="1"/>
  <c r="D211" i="1" s="1"/>
  <c r="F212" i="1"/>
  <c r="D212" i="1" s="1"/>
  <c r="F213" i="1"/>
  <c r="D213" i="1" s="1"/>
  <c r="F214" i="1"/>
  <c r="D214" i="1" s="1"/>
  <c r="F215" i="1"/>
  <c r="D215" i="1" s="1"/>
  <c r="F216" i="1"/>
  <c r="D216" i="1" s="1"/>
  <c r="F217" i="1"/>
  <c r="D217" i="1" s="1"/>
  <c r="F218" i="1"/>
  <c r="D218" i="1" s="1"/>
  <c r="F219" i="1"/>
  <c r="D219" i="1" s="1"/>
  <c r="F220" i="1"/>
  <c r="D220" i="1" s="1"/>
  <c r="F221" i="1"/>
  <c r="D221" i="1" s="1"/>
  <c r="F222" i="1"/>
  <c r="D222" i="1" s="1"/>
  <c r="F223" i="1"/>
  <c r="D223" i="1" s="1"/>
  <c r="F224" i="1"/>
  <c r="D224" i="1" s="1"/>
  <c r="F225" i="1"/>
  <c r="D225" i="1" s="1"/>
  <c r="F226" i="1"/>
  <c r="D226" i="1" s="1"/>
  <c r="F227" i="1"/>
  <c r="D227" i="1" s="1"/>
  <c r="F228" i="1"/>
  <c r="D228" i="1" s="1"/>
  <c r="F229" i="1"/>
  <c r="D229" i="1" s="1"/>
  <c r="F230" i="1"/>
  <c r="D230" i="1" s="1"/>
  <c r="F231" i="1"/>
  <c r="D231" i="1" s="1"/>
  <c r="F232" i="1"/>
  <c r="D232" i="1" s="1"/>
  <c r="F233" i="1"/>
  <c r="D233" i="1" s="1"/>
  <c r="F234" i="1"/>
  <c r="D234" i="1" s="1"/>
  <c r="F235" i="1"/>
  <c r="D235" i="1" s="1"/>
  <c r="F236" i="1"/>
  <c r="D236" i="1" s="1"/>
  <c r="F237" i="1"/>
  <c r="D237" i="1" s="1"/>
  <c r="F238" i="1"/>
  <c r="D238" i="1" s="1"/>
  <c r="F239" i="1"/>
  <c r="D239" i="1" s="1"/>
  <c r="F240" i="1"/>
  <c r="D240" i="1" s="1"/>
  <c r="F241" i="1"/>
  <c r="D241" i="1" s="1"/>
  <c r="F242" i="1"/>
  <c r="D242" i="1" s="1"/>
  <c r="F243" i="1"/>
  <c r="D243" i="1" s="1"/>
  <c r="F244" i="1"/>
  <c r="D244" i="1" s="1"/>
  <c r="F245" i="1"/>
  <c r="D245" i="1" s="1"/>
  <c r="F246" i="1"/>
  <c r="D246" i="1" s="1"/>
  <c r="F247" i="1"/>
  <c r="D247" i="1" s="1"/>
  <c r="F248" i="1"/>
  <c r="D248" i="1" s="1"/>
  <c r="F249" i="1"/>
  <c r="D249" i="1" s="1"/>
  <c r="F250" i="1"/>
  <c r="D250" i="1" s="1"/>
  <c r="F251" i="1"/>
  <c r="D251" i="1" s="1"/>
  <c r="F252" i="1"/>
  <c r="D252" i="1" s="1"/>
  <c r="F253" i="1"/>
  <c r="D253" i="1" s="1"/>
  <c r="F254" i="1"/>
  <c r="D254" i="1" s="1"/>
  <c r="F255" i="1"/>
  <c r="D255" i="1" s="1"/>
  <c r="F256" i="1"/>
  <c r="D256" i="1" s="1"/>
  <c r="F257" i="1"/>
  <c r="D257" i="1" s="1"/>
  <c r="F258" i="1"/>
  <c r="D258" i="1" s="1"/>
  <c r="F259" i="1"/>
  <c r="D259" i="1" s="1"/>
  <c r="F260" i="1"/>
  <c r="D260" i="1" s="1"/>
  <c r="F261" i="1"/>
  <c r="D261" i="1" s="1"/>
  <c r="F262" i="1"/>
  <c r="D262" i="1" s="1"/>
  <c r="F263" i="1"/>
  <c r="D263" i="1" s="1"/>
  <c r="F264" i="1"/>
  <c r="D264" i="1" s="1"/>
  <c r="F265" i="1"/>
  <c r="D265" i="1" s="1"/>
  <c r="F266" i="1"/>
  <c r="D266" i="1" s="1"/>
  <c r="F267" i="1"/>
  <c r="D267" i="1" s="1"/>
  <c r="F268" i="1"/>
  <c r="D268" i="1" s="1"/>
  <c r="F269" i="1"/>
  <c r="D269" i="1" s="1"/>
  <c r="F270" i="1"/>
  <c r="D270" i="1" s="1"/>
  <c r="F271" i="1"/>
  <c r="D271" i="1" s="1"/>
  <c r="F272" i="1"/>
  <c r="D272" i="1" s="1"/>
  <c r="F273" i="1"/>
  <c r="D273" i="1" s="1"/>
  <c r="F274" i="1"/>
  <c r="D274" i="1" s="1"/>
  <c r="F275" i="1"/>
  <c r="D275" i="1" s="1"/>
  <c r="F276" i="1"/>
  <c r="D276" i="1" s="1"/>
  <c r="F277" i="1"/>
  <c r="D277" i="1" s="1"/>
  <c r="F278" i="1"/>
  <c r="D278" i="1" s="1"/>
  <c r="F279" i="1"/>
  <c r="D279" i="1" s="1"/>
  <c r="F280" i="1"/>
  <c r="D280" i="1" s="1"/>
  <c r="F281" i="1"/>
  <c r="D281" i="1" s="1"/>
  <c r="F282" i="1"/>
  <c r="D282" i="1" s="1"/>
  <c r="F283" i="1"/>
  <c r="D283" i="1" s="1"/>
  <c r="F284" i="1"/>
  <c r="D284" i="1" s="1"/>
  <c r="F285" i="1"/>
  <c r="D285" i="1" s="1"/>
  <c r="J285" i="1" s="1"/>
  <c r="F286" i="1"/>
  <c r="D286" i="1" s="1"/>
  <c r="F287" i="1"/>
  <c r="D287" i="1" s="1"/>
  <c r="F288" i="1"/>
  <c r="D288" i="1" s="1"/>
  <c r="F289" i="1"/>
  <c r="D289" i="1" s="1"/>
  <c r="F290" i="1"/>
  <c r="D290" i="1" s="1"/>
  <c r="F291" i="1"/>
  <c r="D291" i="1" s="1"/>
  <c r="F292" i="1"/>
  <c r="D292" i="1" s="1"/>
  <c r="F293" i="1"/>
  <c r="D293" i="1" s="1"/>
  <c r="F294" i="1"/>
  <c r="D294" i="1" s="1"/>
  <c r="F295" i="1"/>
  <c r="D295" i="1" s="1"/>
  <c r="F296" i="1"/>
  <c r="D296" i="1" s="1"/>
  <c r="F297" i="1"/>
  <c r="D297" i="1" s="1"/>
  <c r="J297" i="1" s="1"/>
  <c r="F298" i="1"/>
  <c r="D298" i="1" s="1"/>
  <c r="F299" i="1"/>
  <c r="D299" i="1" s="1"/>
  <c r="F300" i="1"/>
  <c r="D300" i="1" s="1"/>
  <c r="F301" i="1"/>
  <c r="D301" i="1" s="1"/>
  <c r="F302" i="1"/>
  <c r="D302" i="1" s="1"/>
  <c r="F303" i="1"/>
  <c r="D303" i="1" s="1"/>
  <c r="F304" i="1"/>
  <c r="D304" i="1" s="1"/>
  <c r="F305" i="1"/>
  <c r="D305" i="1" s="1"/>
  <c r="F306" i="1"/>
  <c r="D306" i="1" s="1"/>
  <c r="F307" i="1"/>
  <c r="D307" i="1" s="1"/>
  <c r="F308" i="1"/>
  <c r="D308" i="1" s="1"/>
  <c r="F309" i="1"/>
  <c r="D309" i="1" s="1"/>
  <c r="F310" i="1"/>
  <c r="D310" i="1" s="1"/>
  <c r="F311" i="1"/>
  <c r="D311" i="1" s="1"/>
  <c r="F312" i="1"/>
  <c r="D312" i="1" s="1"/>
  <c r="F313" i="1"/>
  <c r="D313" i="1" s="1"/>
  <c r="F314" i="1"/>
  <c r="D314" i="1" s="1"/>
  <c r="F315" i="1"/>
  <c r="D315" i="1" s="1"/>
  <c r="F316" i="1"/>
  <c r="D316" i="1" s="1"/>
  <c r="F317" i="1"/>
  <c r="D317" i="1" s="1"/>
  <c r="F318" i="1"/>
  <c r="D318" i="1" s="1"/>
  <c r="F319" i="1"/>
  <c r="D319" i="1" s="1"/>
  <c r="F320" i="1"/>
  <c r="D320" i="1" s="1"/>
  <c r="F321" i="1"/>
  <c r="D321" i="1" s="1"/>
  <c r="F322" i="1"/>
  <c r="D322" i="1" s="1"/>
  <c r="F323" i="1"/>
  <c r="D323" i="1" s="1"/>
  <c r="F324" i="1"/>
  <c r="D324" i="1" s="1"/>
  <c r="F325" i="1"/>
  <c r="D325" i="1" s="1"/>
  <c r="F326" i="1"/>
  <c r="D326" i="1" s="1"/>
  <c r="F327" i="1"/>
  <c r="D327" i="1" s="1"/>
  <c r="F328" i="1"/>
  <c r="D328" i="1" s="1"/>
  <c r="F329" i="1"/>
  <c r="D329" i="1" s="1"/>
  <c r="F330" i="1"/>
  <c r="D330" i="1" s="1"/>
  <c r="F331" i="1"/>
  <c r="D331" i="1" s="1"/>
  <c r="F332" i="1"/>
  <c r="D332" i="1" s="1"/>
  <c r="F333" i="1"/>
  <c r="D333" i="1" s="1"/>
  <c r="F334" i="1"/>
  <c r="D334" i="1" s="1"/>
  <c r="F335" i="1"/>
  <c r="D335" i="1" s="1"/>
  <c r="F336" i="1"/>
  <c r="D336" i="1" s="1"/>
  <c r="F337" i="1"/>
  <c r="D337" i="1" s="1"/>
  <c r="F338" i="1"/>
  <c r="D338" i="1" s="1"/>
  <c r="F339" i="1"/>
  <c r="D339" i="1" s="1"/>
  <c r="F340" i="1"/>
  <c r="D340" i="1" s="1"/>
  <c r="F341" i="1"/>
  <c r="D341" i="1" s="1"/>
  <c r="F342" i="1"/>
  <c r="D342" i="1" s="1"/>
  <c r="F343" i="1"/>
  <c r="D343" i="1" s="1"/>
  <c r="F344" i="1"/>
  <c r="D344" i="1" s="1"/>
  <c r="F345" i="1"/>
  <c r="D345" i="1" s="1"/>
  <c r="F346" i="1"/>
  <c r="D346" i="1" s="1"/>
  <c r="F347" i="1"/>
  <c r="D347" i="1" s="1"/>
  <c r="F348" i="1"/>
  <c r="D348" i="1" s="1"/>
  <c r="F349" i="1"/>
  <c r="D349" i="1" s="1"/>
  <c r="F350" i="1"/>
  <c r="D350" i="1" s="1"/>
  <c r="F351" i="1"/>
  <c r="D351" i="1" s="1"/>
  <c r="F352" i="1"/>
  <c r="D352" i="1" s="1"/>
  <c r="F353" i="1"/>
  <c r="D353" i="1" s="1"/>
  <c r="F354" i="1"/>
  <c r="D354" i="1" s="1"/>
  <c r="F355" i="1"/>
  <c r="D355" i="1" s="1"/>
  <c r="F356" i="1"/>
  <c r="D356" i="1" s="1"/>
  <c r="F357" i="1"/>
  <c r="D357" i="1" s="1"/>
  <c r="F358" i="1"/>
  <c r="D358" i="1" s="1"/>
  <c r="F359" i="1"/>
  <c r="D359" i="1" s="1"/>
  <c r="F360" i="1"/>
  <c r="D360" i="1" s="1"/>
  <c r="F361" i="1"/>
  <c r="D361" i="1" s="1"/>
  <c r="F362" i="1"/>
  <c r="D362" i="1" s="1"/>
  <c r="F363" i="1"/>
  <c r="D363" i="1" s="1"/>
  <c r="F364" i="1"/>
  <c r="D364" i="1" s="1"/>
  <c r="F365" i="1"/>
  <c r="D365" i="1" s="1"/>
  <c r="F366" i="1"/>
  <c r="D366" i="1" s="1"/>
  <c r="F367" i="1"/>
  <c r="D367" i="1" s="1"/>
  <c r="F368" i="1"/>
  <c r="D368" i="1" s="1"/>
  <c r="F369" i="1"/>
  <c r="D369" i="1" s="1"/>
  <c r="F370" i="1"/>
  <c r="D370" i="1" s="1"/>
  <c r="F371" i="1"/>
  <c r="D371" i="1" s="1"/>
  <c r="F372" i="1"/>
  <c r="D372" i="1" s="1"/>
  <c r="F373" i="1"/>
  <c r="D373" i="1" s="1"/>
  <c r="F374" i="1"/>
  <c r="D374" i="1" s="1"/>
  <c r="F375" i="1"/>
  <c r="D375" i="1" s="1"/>
  <c r="F376" i="1"/>
  <c r="D376" i="1" s="1"/>
  <c r="F377" i="1"/>
  <c r="D377" i="1" s="1"/>
  <c r="F378" i="1"/>
  <c r="D378" i="1" s="1"/>
  <c r="F379" i="1"/>
  <c r="D379" i="1" s="1"/>
  <c r="F380" i="1"/>
  <c r="D380" i="1" s="1"/>
  <c r="F381" i="1"/>
  <c r="D381" i="1" s="1"/>
  <c r="F382" i="1"/>
  <c r="D382" i="1" s="1"/>
  <c r="F383" i="1"/>
  <c r="D383" i="1" s="1"/>
  <c r="F384" i="1"/>
  <c r="D384" i="1" s="1"/>
  <c r="F385" i="1"/>
  <c r="D385" i="1" s="1"/>
  <c r="F386" i="1"/>
  <c r="D386" i="1" s="1"/>
  <c r="F387" i="1"/>
  <c r="D387" i="1" s="1"/>
  <c r="F388" i="1"/>
  <c r="D388" i="1" s="1"/>
  <c r="F389" i="1"/>
  <c r="D389" i="1" s="1"/>
  <c r="F390" i="1"/>
  <c r="D390" i="1" s="1"/>
  <c r="F391" i="1"/>
  <c r="D391" i="1" s="1"/>
  <c r="F392" i="1"/>
  <c r="D392" i="1" s="1"/>
  <c r="F393" i="1"/>
  <c r="D393" i="1" s="1"/>
  <c r="F394" i="1"/>
  <c r="D394" i="1" s="1"/>
  <c r="F395" i="1"/>
  <c r="D395" i="1" s="1"/>
  <c r="F396" i="1"/>
  <c r="D396" i="1" s="1"/>
  <c r="F397" i="1"/>
  <c r="D397" i="1" s="1"/>
  <c r="F398" i="1"/>
  <c r="D398" i="1" s="1"/>
  <c r="F399" i="1"/>
  <c r="D399" i="1" s="1"/>
  <c r="F400" i="1"/>
  <c r="D400" i="1" s="1"/>
  <c r="F401" i="1"/>
  <c r="D401" i="1" s="1"/>
  <c r="F402" i="1"/>
  <c r="D402" i="1" s="1"/>
  <c r="F403" i="1"/>
  <c r="D403" i="1" s="1"/>
  <c r="F404" i="1"/>
  <c r="D404" i="1" s="1"/>
  <c r="F405" i="1"/>
  <c r="D405" i="1" s="1"/>
  <c r="J405" i="1" s="1"/>
  <c r="F406" i="1"/>
  <c r="D406" i="1" s="1"/>
  <c r="F407" i="1"/>
  <c r="D407" i="1" s="1"/>
  <c r="F408" i="1"/>
  <c r="D408" i="1" s="1"/>
  <c r="F409" i="1"/>
  <c r="D409" i="1" s="1"/>
  <c r="F410" i="1"/>
  <c r="D410" i="1" s="1"/>
  <c r="F411" i="1"/>
  <c r="D411" i="1" s="1"/>
  <c r="F412" i="1"/>
  <c r="D412" i="1" s="1"/>
  <c r="F413" i="1"/>
  <c r="D413" i="1" s="1"/>
  <c r="F414" i="1"/>
  <c r="D414" i="1" s="1"/>
  <c r="F415" i="1"/>
  <c r="D415" i="1" s="1"/>
  <c r="F416" i="1"/>
  <c r="D416" i="1" s="1"/>
  <c r="F417" i="1"/>
  <c r="D417" i="1" s="1"/>
  <c r="F418" i="1"/>
  <c r="D418" i="1" s="1"/>
  <c r="F419" i="1"/>
  <c r="D419" i="1" s="1"/>
  <c r="F420" i="1"/>
  <c r="D420" i="1" s="1"/>
  <c r="F421" i="1"/>
  <c r="D421" i="1" s="1"/>
  <c r="F422" i="1"/>
  <c r="D422" i="1" s="1"/>
  <c r="F423" i="1"/>
  <c r="D423" i="1" s="1"/>
  <c r="F424" i="1"/>
  <c r="D424" i="1" s="1"/>
  <c r="F425" i="1"/>
  <c r="D425" i="1" s="1"/>
  <c r="F426" i="1"/>
  <c r="D426" i="1" s="1"/>
  <c r="F427" i="1"/>
  <c r="D427" i="1" s="1"/>
  <c r="F428" i="1"/>
  <c r="D428" i="1" s="1"/>
  <c r="F429" i="1"/>
  <c r="D429" i="1" s="1"/>
  <c r="F430" i="1"/>
  <c r="D430" i="1" s="1"/>
  <c r="F431" i="1"/>
  <c r="D431" i="1" s="1"/>
  <c r="F432" i="1"/>
  <c r="D432" i="1" s="1"/>
  <c r="F433" i="1"/>
  <c r="D433" i="1" s="1"/>
  <c r="F434" i="1"/>
  <c r="D434" i="1" s="1"/>
  <c r="F435" i="1"/>
  <c r="D435" i="1" s="1"/>
  <c r="F436" i="1"/>
  <c r="D436" i="1" s="1"/>
  <c r="F437" i="1"/>
  <c r="D437" i="1" s="1"/>
  <c r="F438" i="1"/>
  <c r="D438" i="1" s="1"/>
  <c r="F439" i="1"/>
  <c r="D439" i="1" s="1"/>
  <c r="F440" i="1"/>
  <c r="D440" i="1" s="1"/>
  <c r="F441" i="1"/>
  <c r="D441" i="1" s="1"/>
  <c r="F442" i="1"/>
  <c r="D442" i="1" s="1"/>
  <c r="F443" i="1"/>
  <c r="D443" i="1" s="1"/>
  <c r="F444" i="1"/>
  <c r="D444" i="1" s="1"/>
  <c r="F445" i="1"/>
  <c r="D445" i="1" s="1"/>
  <c r="F446" i="1"/>
  <c r="D446" i="1" s="1"/>
  <c r="F447" i="1"/>
  <c r="D447" i="1" s="1"/>
  <c r="F448" i="1"/>
  <c r="D448" i="1" s="1"/>
  <c r="F449" i="1"/>
  <c r="D449" i="1" s="1"/>
  <c r="F450" i="1"/>
  <c r="D450" i="1" s="1"/>
  <c r="F451" i="1"/>
  <c r="D451" i="1" s="1"/>
  <c r="F452" i="1"/>
  <c r="D452" i="1" s="1"/>
  <c r="F453" i="1"/>
  <c r="D453" i="1" s="1"/>
  <c r="F454" i="1"/>
  <c r="D454" i="1" s="1"/>
  <c r="F455" i="1"/>
  <c r="D455" i="1" s="1"/>
  <c r="F456" i="1"/>
  <c r="D456" i="1" s="1"/>
  <c r="F457" i="1"/>
  <c r="D457" i="1" s="1"/>
  <c r="F458" i="1"/>
  <c r="D458" i="1" s="1"/>
  <c r="F459" i="1"/>
  <c r="D459" i="1" s="1"/>
  <c r="F460" i="1"/>
  <c r="D460" i="1" s="1"/>
  <c r="F461" i="1"/>
  <c r="D461" i="1" s="1"/>
  <c r="F462" i="1"/>
  <c r="D462" i="1" s="1"/>
  <c r="F463" i="1"/>
  <c r="D463" i="1" s="1"/>
  <c r="F464" i="1"/>
  <c r="D464" i="1" s="1"/>
  <c r="F465" i="1"/>
  <c r="D465" i="1" s="1"/>
  <c r="F466" i="1"/>
  <c r="D466" i="1" s="1"/>
  <c r="F467" i="1"/>
  <c r="D467" i="1" s="1"/>
  <c r="F468" i="1"/>
  <c r="D468" i="1" s="1"/>
  <c r="F469" i="1"/>
  <c r="D469" i="1" s="1"/>
  <c r="F470" i="1"/>
  <c r="D470" i="1" s="1"/>
  <c r="F471" i="1"/>
  <c r="D471" i="1" s="1"/>
  <c r="F472" i="1"/>
  <c r="D472" i="1" s="1"/>
  <c r="F473" i="1"/>
  <c r="D473" i="1" s="1"/>
  <c r="F474" i="1"/>
  <c r="D474" i="1" s="1"/>
  <c r="F475" i="1"/>
  <c r="D475" i="1" s="1"/>
  <c r="F476" i="1"/>
  <c r="D476" i="1" s="1"/>
  <c r="F477" i="1"/>
  <c r="D477" i="1" s="1"/>
  <c r="F478" i="1"/>
  <c r="D478" i="1" s="1"/>
  <c r="F479" i="1"/>
  <c r="D479" i="1" s="1"/>
  <c r="F480" i="1"/>
  <c r="D480" i="1" s="1"/>
  <c r="F481" i="1"/>
  <c r="D481" i="1" s="1"/>
  <c r="F482" i="1"/>
  <c r="D482" i="1" s="1"/>
  <c r="F483" i="1"/>
  <c r="D483" i="1" s="1"/>
  <c r="F484" i="1"/>
  <c r="D484" i="1" s="1"/>
  <c r="F485" i="1"/>
  <c r="D485" i="1" s="1"/>
  <c r="F486" i="1"/>
  <c r="D486" i="1" s="1"/>
  <c r="F487" i="1"/>
  <c r="D487" i="1" s="1"/>
  <c r="F488" i="1"/>
  <c r="D488" i="1" s="1"/>
  <c r="F489" i="1"/>
  <c r="D489" i="1" s="1"/>
  <c r="J489" i="1" s="1"/>
  <c r="F490" i="1"/>
  <c r="D490" i="1" s="1"/>
  <c r="F491" i="1"/>
  <c r="D491" i="1" s="1"/>
  <c r="F492" i="1"/>
  <c r="D492" i="1" s="1"/>
  <c r="F493" i="1"/>
  <c r="D493" i="1" s="1"/>
  <c r="F494" i="1"/>
  <c r="D494" i="1" s="1"/>
  <c r="F495" i="1"/>
  <c r="D495" i="1" s="1"/>
  <c r="F496" i="1"/>
  <c r="D496" i="1" s="1"/>
  <c r="F497" i="1"/>
  <c r="D497" i="1" s="1"/>
  <c r="F498" i="1"/>
  <c r="D498" i="1" s="1"/>
  <c r="F499" i="1"/>
  <c r="D499" i="1" s="1"/>
  <c r="F500" i="1"/>
  <c r="D500" i="1" s="1"/>
  <c r="F501" i="1"/>
  <c r="D501" i="1" s="1"/>
  <c r="F2" i="1"/>
  <c r="D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  <c r="J323" i="1" l="1"/>
  <c r="J23" i="1"/>
  <c r="J495" i="1"/>
  <c r="J471" i="1"/>
  <c r="J435" i="1"/>
  <c r="J387" i="1"/>
  <c r="J363" i="1"/>
  <c r="J339" i="1"/>
  <c r="J315" i="1"/>
  <c r="J279" i="1"/>
  <c r="J255" i="1"/>
  <c r="J219" i="1"/>
  <c r="J183" i="1"/>
  <c r="J147" i="1"/>
  <c r="J99" i="1"/>
  <c r="J15" i="1"/>
  <c r="J483" i="1"/>
  <c r="J459" i="1"/>
  <c r="J447" i="1"/>
  <c r="J411" i="1"/>
  <c r="J399" i="1"/>
  <c r="J375" i="1"/>
  <c r="J351" i="1"/>
  <c r="J327" i="1"/>
  <c r="J303" i="1"/>
  <c r="J291" i="1"/>
  <c r="J267" i="1"/>
  <c r="J243" i="1"/>
  <c r="J231" i="1"/>
  <c r="J207" i="1"/>
  <c r="J195" i="1"/>
  <c r="J171" i="1"/>
  <c r="J159" i="1"/>
  <c r="J135" i="1"/>
  <c r="J123" i="1"/>
  <c r="J111" i="1"/>
  <c r="J87" i="1"/>
  <c r="J75" i="1"/>
  <c r="J63" i="1"/>
  <c r="J51" i="1"/>
  <c r="J39" i="1"/>
  <c r="J27" i="1"/>
  <c r="J3" i="1"/>
  <c r="J416" i="1"/>
  <c r="J44" i="1"/>
  <c r="J423" i="1"/>
  <c r="J320" i="1"/>
  <c r="J260" i="1"/>
  <c r="J46" i="1"/>
  <c r="J465" i="1"/>
  <c r="J249" i="1"/>
  <c r="J201" i="1"/>
  <c r="J141" i="1"/>
  <c r="J396" i="1"/>
  <c r="J192" i="1"/>
  <c r="J96" i="1"/>
  <c r="J164" i="1"/>
  <c r="J241" i="1"/>
  <c r="J193" i="1"/>
  <c r="J140" i="1"/>
  <c r="J464" i="1"/>
  <c r="J477" i="1"/>
  <c r="J347" i="1"/>
  <c r="J57" i="1"/>
  <c r="J496" i="1"/>
  <c r="J484" i="1"/>
  <c r="J472" i="1"/>
  <c r="J460" i="1"/>
  <c r="J448" i="1"/>
  <c r="J436" i="1"/>
  <c r="J424" i="1"/>
  <c r="J412" i="1"/>
  <c r="J400" i="1"/>
  <c r="J388" i="1"/>
  <c r="J376" i="1"/>
  <c r="J364" i="1"/>
  <c r="J352" i="1"/>
  <c r="J340" i="1"/>
  <c r="J328" i="1"/>
  <c r="J316" i="1"/>
  <c r="J304" i="1"/>
  <c r="J292" i="1"/>
  <c r="J280" i="1"/>
  <c r="J268" i="1"/>
  <c r="J256" i="1"/>
  <c r="J244" i="1"/>
  <c r="J232" i="1"/>
  <c r="J220" i="1"/>
  <c r="J208" i="1"/>
  <c r="J196" i="1"/>
  <c r="J184" i="1"/>
  <c r="J172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J4" i="1"/>
  <c r="J395" i="1"/>
  <c r="J478" i="1"/>
  <c r="J214" i="1"/>
  <c r="J369" i="1"/>
  <c r="J213" i="1"/>
  <c r="J479" i="1"/>
  <c r="J419" i="1"/>
  <c r="J299" i="1"/>
  <c r="J275" i="1"/>
  <c r="J239" i="1"/>
  <c r="J215" i="1"/>
  <c r="J119" i="1"/>
  <c r="J95" i="1"/>
  <c r="J466" i="1"/>
  <c r="J142" i="1"/>
  <c r="J381" i="1"/>
  <c r="J345" i="1"/>
  <c r="J261" i="1"/>
  <c r="J165" i="1"/>
  <c r="J105" i="1"/>
  <c r="J69" i="1"/>
  <c r="J368" i="1"/>
  <c r="J212" i="1"/>
  <c r="J116" i="1"/>
  <c r="J92" i="1"/>
  <c r="J371" i="1"/>
  <c r="J434" i="1"/>
  <c r="J350" i="1"/>
  <c r="J194" i="1"/>
  <c r="J457" i="1"/>
  <c r="J433" i="1"/>
  <c r="J409" i="1"/>
  <c r="J444" i="1"/>
  <c r="J372" i="1"/>
  <c r="J252" i="1"/>
  <c r="J494" i="1"/>
  <c r="J482" i="1"/>
  <c r="J470" i="1"/>
  <c r="J458" i="1"/>
  <c r="J446" i="1"/>
  <c r="J422" i="1"/>
  <c r="J410" i="1"/>
  <c r="J398" i="1"/>
  <c r="J386" i="1"/>
  <c r="J374" i="1"/>
  <c r="J362" i="1"/>
  <c r="J338" i="1"/>
  <c r="J326" i="1"/>
  <c r="J314" i="1"/>
  <c r="J302" i="1"/>
  <c r="J290" i="1"/>
  <c r="J278" i="1"/>
  <c r="J266" i="1"/>
  <c r="J254" i="1"/>
  <c r="J242" i="1"/>
  <c r="J230" i="1"/>
  <c r="J218" i="1"/>
  <c r="J206" i="1"/>
  <c r="J182" i="1"/>
  <c r="J170" i="1"/>
  <c r="J158" i="1"/>
  <c r="J146" i="1"/>
  <c r="J134" i="1"/>
  <c r="J122" i="1"/>
  <c r="J110" i="1"/>
  <c r="J98" i="1"/>
  <c r="J86" i="1"/>
  <c r="J74" i="1"/>
  <c r="J62" i="1"/>
  <c r="J50" i="1"/>
  <c r="J38" i="1"/>
  <c r="J26" i="1"/>
  <c r="J14" i="1"/>
  <c r="J205" i="1"/>
  <c r="J493" i="1"/>
  <c r="J481" i="1"/>
  <c r="J469" i="1"/>
  <c r="J445" i="1"/>
  <c r="J421" i="1"/>
  <c r="J397" i="1"/>
  <c r="J385" i="1"/>
  <c r="J373" i="1"/>
  <c r="J361" i="1"/>
  <c r="J349" i="1"/>
  <c r="J337" i="1"/>
  <c r="J325" i="1"/>
  <c r="J301" i="1"/>
  <c r="J289" i="1"/>
  <c r="J277" i="1"/>
  <c r="J265" i="1"/>
  <c r="J253" i="1"/>
  <c r="J229" i="1"/>
  <c r="J181" i="1"/>
  <c r="J169" i="1"/>
  <c r="J157" i="1"/>
  <c r="J145" i="1"/>
  <c r="J121" i="1"/>
  <c r="J109" i="1"/>
  <c r="J97" i="1"/>
  <c r="J85" i="1"/>
  <c r="J73" i="1"/>
  <c r="J61" i="1"/>
  <c r="J49" i="1"/>
  <c r="J25" i="1"/>
  <c r="J13" i="1"/>
  <c r="J492" i="1"/>
  <c r="J480" i="1"/>
  <c r="J468" i="1"/>
  <c r="J456" i="1"/>
  <c r="J432" i="1"/>
  <c r="J420" i="1"/>
  <c r="J408" i="1"/>
  <c r="J384" i="1"/>
  <c r="J348" i="1"/>
  <c r="J336" i="1"/>
  <c r="J324" i="1"/>
  <c r="J312" i="1"/>
  <c r="J300" i="1"/>
  <c r="J288" i="1"/>
  <c r="J264" i="1"/>
  <c r="J240" i="1"/>
  <c r="J228" i="1"/>
  <c r="J216" i="1"/>
  <c r="J204" i="1"/>
  <c r="J180" i="1"/>
  <c r="J168" i="1"/>
  <c r="J156" i="1"/>
  <c r="J144" i="1"/>
  <c r="J132" i="1"/>
  <c r="J108" i="1"/>
  <c r="J84" i="1"/>
  <c r="J72" i="1"/>
  <c r="J60" i="1"/>
  <c r="J48" i="1"/>
  <c r="J36" i="1"/>
  <c r="J24" i="1"/>
  <c r="J12" i="1"/>
  <c r="J491" i="1"/>
  <c r="J467" i="1"/>
  <c r="J455" i="1"/>
  <c r="J431" i="1"/>
  <c r="J407" i="1"/>
  <c r="J359" i="1"/>
  <c r="J335" i="1"/>
  <c r="J311" i="1"/>
  <c r="J287" i="1"/>
  <c r="J263" i="1"/>
  <c r="J251" i="1"/>
  <c r="J227" i="1"/>
  <c r="J203" i="1"/>
  <c r="J191" i="1"/>
  <c r="J179" i="1"/>
  <c r="J155" i="1"/>
  <c r="J143" i="1"/>
  <c r="J131" i="1"/>
  <c r="J107" i="1"/>
  <c r="J83" i="1"/>
  <c r="J71" i="1"/>
  <c r="J59" i="1"/>
  <c r="J47" i="1"/>
  <c r="J190" i="1"/>
  <c r="J313" i="1"/>
  <c r="J217" i="1"/>
  <c r="J133" i="1"/>
  <c r="J37" i="1"/>
  <c r="J360" i="1"/>
  <c r="J276" i="1"/>
  <c r="J120" i="1"/>
  <c r="J443" i="1"/>
  <c r="J383" i="1"/>
  <c r="J167" i="1"/>
  <c r="J35" i="1"/>
  <c r="J11" i="1"/>
  <c r="J2" i="1"/>
  <c r="J490" i="1"/>
  <c r="J454" i="1"/>
  <c r="J442" i="1"/>
  <c r="J430" i="1"/>
  <c r="J418" i="1"/>
  <c r="J406" i="1"/>
  <c r="J394" i="1"/>
  <c r="J382" i="1"/>
  <c r="J370" i="1"/>
  <c r="J358" i="1"/>
  <c r="J346" i="1"/>
  <c r="J334" i="1"/>
  <c r="J322" i="1"/>
  <c r="J310" i="1"/>
  <c r="J298" i="1"/>
  <c r="J286" i="1"/>
  <c r="J274" i="1"/>
  <c r="J262" i="1"/>
  <c r="J250" i="1"/>
  <c r="J238" i="1"/>
  <c r="J226" i="1"/>
  <c r="J202" i="1"/>
  <c r="J178" i="1"/>
  <c r="J166" i="1"/>
  <c r="J154" i="1"/>
  <c r="J130" i="1"/>
  <c r="J118" i="1"/>
  <c r="J106" i="1"/>
  <c r="J94" i="1"/>
  <c r="J82" i="1"/>
  <c r="J70" i="1"/>
  <c r="J58" i="1"/>
  <c r="J34" i="1"/>
  <c r="J22" i="1"/>
  <c r="J10" i="1"/>
  <c r="J501" i="1"/>
  <c r="J453" i="1"/>
  <c r="J441" i="1"/>
  <c r="J429" i="1"/>
  <c r="J417" i="1"/>
  <c r="J393" i="1"/>
  <c r="J357" i="1"/>
  <c r="J333" i="1"/>
  <c r="J321" i="1"/>
  <c r="J309" i="1"/>
  <c r="J273" i="1"/>
  <c r="J237" i="1"/>
  <c r="J225" i="1"/>
  <c r="J177" i="1"/>
  <c r="J153" i="1"/>
  <c r="J129" i="1"/>
  <c r="J117" i="1"/>
  <c r="J93" i="1"/>
  <c r="J81" i="1"/>
  <c r="J33" i="1"/>
  <c r="J21" i="1"/>
  <c r="J9" i="1"/>
  <c r="J500" i="1"/>
  <c r="J488" i="1"/>
  <c r="J476" i="1"/>
  <c r="J452" i="1"/>
  <c r="J440" i="1"/>
  <c r="J428" i="1"/>
  <c r="J404" i="1"/>
  <c r="J392" i="1"/>
  <c r="J380" i="1"/>
  <c r="J356" i="1"/>
  <c r="J344" i="1"/>
  <c r="J332" i="1"/>
  <c r="J308" i="1"/>
  <c r="J296" i="1"/>
  <c r="J284" i="1"/>
  <c r="J272" i="1"/>
  <c r="J248" i="1"/>
  <c r="J236" i="1"/>
  <c r="J224" i="1"/>
  <c r="J200" i="1"/>
  <c r="J188" i="1"/>
  <c r="J176" i="1"/>
  <c r="J152" i="1"/>
  <c r="J128" i="1"/>
  <c r="J104" i="1"/>
  <c r="J80" i="1"/>
  <c r="J68" i="1"/>
  <c r="J56" i="1"/>
  <c r="J32" i="1"/>
  <c r="J20" i="1"/>
  <c r="J8" i="1"/>
  <c r="J499" i="1"/>
  <c r="J487" i="1"/>
  <c r="J475" i="1"/>
  <c r="J463" i="1"/>
  <c r="J451" i="1"/>
  <c r="J439" i="1"/>
  <c r="J427" i="1"/>
  <c r="J415" i="1"/>
  <c r="J403" i="1"/>
  <c r="J391" i="1"/>
  <c r="J497" i="1"/>
  <c r="J485" i="1"/>
  <c r="J473" i="1"/>
  <c r="J461" i="1"/>
  <c r="J449" i="1"/>
  <c r="J437" i="1"/>
  <c r="J425" i="1"/>
  <c r="J413" i="1"/>
  <c r="J401" i="1"/>
  <c r="J389" i="1"/>
  <c r="J377" i="1"/>
  <c r="J365" i="1"/>
  <c r="J353" i="1"/>
  <c r="J341" i="1"/>
  <c r="J329" i="1"/>
  <c r="J317" i="1"/>
  <c r="J305" i="1"/>
  <c r="J293" i="1"/>
  <c r="J281" i="1"/>
  <c r="J269" i="1"/>
  <c r="J257" i="1"/>
  <c r="J245" i="1"/>
  <c r="J233" i="1"/>
  <c r="J221" i="1"/>
  <c r="J209" i="1"/>
  <c r="J197" i="1"/>
  <c r="J185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J5" i="1"/>
  <c r="J379" i="1"/>
  <c r="J367" i="1"/>
  <c r="J355" i="1"/>
  <c r="J343" i="1"/>
  <c r="J331" i="1"/>
  <c r="J319" i="1"/>
  <c r="J307" i="1"/>
  <c r="J295" i="1"/>
  <c r="J283" i="1"/>
  <c r="J271" i="1"/>
  <c r="J259" i="1"/>
  <c r="J247" i="1"/>
  <c r="J235" i="1"/>
  <c r="J223" i="1"/>
  <c r="J211" i="1"/>
  <c r="J199" i="1"/>
  <c r="J187" i="1"/>
  <c r="J175" i="1"/>
  <c r="J163" i="1"/>
  <c r="J151" i="1"/>
  <c r="J139" i="1"/>
  <c r="J127" i="1"/>
  <c r="J115" i="1"/>
  <c r="J103" i="1"/>
  <c r="J91" i="1"/>
  <c r="J79" i="1"/>
  <c r="J67" i="1"/>
  <c r="J55" i="1"/>
  <c r="J43" i="1"/>
  <c r="J31" i="1"/>
  <c r="J19" i="1"/>
  <c r="J7" i="1"/>
  <c r="J498" i="1"/>
  <c r="J486" i="1"/>
  <c r="J474" i="1"/>
  <c r="J462" i="1"/>
  <c r="J450" i="1"/>
  <c r="J438" i="1"/>
  <c r="J426" i="1"/>
  <c r="J414" i="1"/>
  <c r="J402" i="1"/>
  <c r="J390" i="1"/>
  <c r="J378" i="1"/>
  <c r="J366" i="1"/>
  <c r="J354" i="1"/>
  <c r="J342" i="1"/>
  <c r="J330" i="1"/>
  <c r="J318" i="1"/>
  <c r="J306" i="1"/>
  <c r="J294" i="1"/>
  <c r="J282" i="1"/>
  <c r="J270" i="1"/>
  <c r="J258" i="1"/>
  <c r="J246" i="1"/>
  <c r="J234" i="1"/>
  <c r="J222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K434" i="1"/>
  <c r="K362" i="1"/>
  <c r="K314" i="1"/>
  <c r="K290" i="1"/>
  <c r="K266" i="1"/>
  <c r="L218" i="1" a="1"/>
  <c r="L218" i="1" s="1"/>
  <c r="L146" i="1" a="1"/>
  <c r="L146" i="1" s="1"/>
  <c r="K122" i="1"/>
  <c r="K74" i="1"/>
  <c r="K458" i="1"/>
  <c r="K325" i="1"/>
  <c r="K338" i="1"/>
  <c r="K386" i="1"/>
  <c r="L194" i="1" a="1"/>
  <c r="L194" i="1" s="1"/>
  <c r="L50" i="1" a="1"/>
  <c r="L50" i="1" s="1"/>
  <c r="K242" i="1"/>
  <c r="K170" i="1"/>
  <c r="K482" i="1"/>
  <c r="K445" i="1"/>
  <c r="K397" i="1"/>
  <c r="K373" i="1"/>
  <c r="K253" i="1"/>
  <c r="K229" i="1"/>
  <c r="K157" i="1"/>
  <c r="K109" i="1"/>
  <c r="K85" i="1"/>
  <c r="K37" i="1"/>
  <c r="K13" i="1"/>
  <c r="L410" i="1" a="1"/>
  <c r="L410" i="1" s="1"/>
  <c r="K301" i="1"/>
  <c r="K181" i="1"/>
  <c r="K469" i="1"/>
  <c r="K474" i="1"/>
  <c r="K252" i="1"/>
  <c r="K228" i="1"/>
  <c r="K156" i="1"/>
  <c r="K132" i="1"/>
  <c r="K108" i="1"/>
  <c r="K36" i="1"/>
  <c r="K12" i="1"/>
  <c r="K2" i="1"/>
  <c r="K494" i="1"/>
  <c r="K350" i="1"/>
  <c r="K278" i="1"/>
  <c r="K254" i="1"/>
  <c r="K230" i="1"/>
  <c r="K14" i="1"/>
  <c r="K433" i="1"/>
  <c r="K361" i="1"/>
  <c r="K265" i="1"/>
  <c r="K193" i="1"/>
  <c r="K73" i="1"/>
  <c r="K49" i="1"/>
  <c r="L264" i="1" a="1"/>
  <c r="L264" i="1" s="1"/>
  <c r="K96" i="1"/>
  <c r="K24" i="1"/>
  <c r="K251" i="1"/>
  <c r="K107" i="1"/>
  <c r="K35" i="1"/>
  <c r="K422" i="1"/>
  <c r="K374" i="1"/>
  <c r="K302" i="1"/>
  <c r="K206" i="1"/>
  <c r="K182" i="1"/>
  <c r="K158" i="1"/>
  <c r="K134" i="1"/>
  <c r="K337" i="1"/>
  <c r="K192" i="1"/>
  <c r="K168" i="1"/>
  <c r="K419" i="1"/>
  <c r="K131" i="1"/>
  <c r="K59" i="1"/>
  <c r="K446" i="1"/>
  <c r="K110" i="1"/>
  <c r="K38" i="1"/>
  <c r="K481" i="1"/>
  <c r="K409" i="1"/>
  <c r="K289" i="1"/>
  <c r="K217" i="1"/>
  <c r="K145" i="1"/>
  <c r="K121" i="1"/>
  <c r="K216" i="1"/>
  <c r="K367" i="1"/>
  <c r="K151" i="1"/>
  <c r="K199" i="1"/>
  <c r="K175" i="1"/>
  <c r="K139" i="1"/>
  <c r="K492" i="1"/>
  <c r="K480" i="1"/>
  <c r="K468" i="1"/>
  <c r="K456" i="1"/>
  <c r="K444" i="1"/>
  <c r="K432" i="1"/>
  <c r="K408" i="1"/>
  <c r="K396" i="1"/>
  <c r="K384" i="1"/>
  <c r="K372" i="1"/>
  <c r="K348" i="1"/>
  <c r="K324" i="1"/>
  <c r="K312" i="1"/>
  <c r="K288" i="1"/>
  <c r="K276" i="1"/>
  <c r="K475" i="1"/>
  <c r="K451" i="1"/>
  <c r="K391" i="1"/>
  <c r="K331" i="1"/>
  <c r="K307" i="1"/>
  <c r="K295" i="1"/>
  <c r="K466" i="1"/>
  <c r="K442" i="1"/>
  <c r="K370" i="1"/>
  <c r="K322" i="1"/>
  <c r="K298" i="1"/>
  <c r="K58" i="1"/>
  <c r="K10" i="1"/>
  <c r="K379" i="1"/>
  <c r="K319" i="1"/>
  <c r="K271" i="1"/>
  <c r="K452" i="1"/>
  <c r="K440" i="1"/>
  <c r="K380" i="1"/>
  <c r="K296" i="1"/>
  <c r="K272" i="1"/>
  <c r="K260" i="1"/>
  <c r="K164" i="1"/>
  <c r="K20" i="1"/>
  <c r="M141" i="1"/>
  <c r="M343" i="1"/>
  <c r="M199" i="1"/>
  <c r="M175" i="1"/>
  <c r="L380" i="1" a="1"/>
  <c r="L380" i="1" s="1"/>
  <c r="M385" i="1"/>
  <c r="M372" i="1"/>
  <c r="M128" i="1"/>
  <c r="M104" i="1"/>
  <c r="M456" i="1"/>
  <c r="L397" i="1" a="1"/>
  <c r="L397" i="1" s="1"/>
  <c r="M56" i="1"/>
  <c r="M428" i="1"/>
  <c r="K462" i="1"/>
  <c r="M450" i="1"/>
  <c r="K287" i="1"/>
  <c r="M498" i="1"/>
  <c r="M30" i="1"/>
  <c r="K431" i="1"/>
  <c r="K359" i="1"/>
  <c r="M203" i="1"/>
  <c r="K143" i="1"/>
  <c r="K95" i="1"/>
  <c r="K454" i="1"/>
  <c r="K382" i="1"/>
  <c r="K358" i="1"/>
  <c r="M286" i="1"/>
  <c r="K262" i="1"/>
  <c r="K238" i="1"/>
  <c r="K166" i="1"/>
  <c r="K46" i="1"/>
  <c r="L46" i="1" a="1"/>
  <c r="L46" i="1" s="1"/>
  <c r="K22" i="1"/>
  <c r="M347" i="1"/>
  <c r="L453" i="1" a="1"/>
  <c r="L453" i="1" s="1"/>
  <c r="M285" i="1"/>
  <c r="M284" i="1"/>
  <c r="M140" i="1"/>
  <c r="M373" i="1"/>
  <c r="M132" i="1"/>
  <c r="L49" i="1" a="1"/>
  <c r="L49" i="1" s="1"/>
  <c r="M55" i="1"/>
  <c r="M19" i="1"/>
  <c r="L24" i="1" a="1"/>
  <c r="L24" i="1" s="1"/>
  <c r="M200" i="1"/>
  <c r="M445" i="1"/>
  <c r="L324" i="1" a="1"/>
  <c r="L324" i="1" s="1"/>
  <c r="M430" i="1"/>
  <c r="M276" i="1"/>
  <c r="M181" i="1"/>
  <c r="M36" i="1"/>
  <c r="L276" i="1" a="1"/>
  <c r="L276" i="1" s="1"/>
  <c r="M493" i="1"/>
  <c r="M429" i="1"/>
  <c r="M344" i="1"/>
  <c r="M272" i="1"/>
  <c r="M180" i="1"/>
  <c r="M109" i="1"/>
  <c r="M31" i="1"/>
  <c r="M37" i="1"/>
  <c r="L253" i="1" a="1"/>
  <c r="L253" i="1" s="1"/>
  <c r="M477" i="1"/>
  <c r="M169" i="1"/>
  <c r="L252" i="1" a="1"/>
  <c r="L252" i="1" s="1"/>
  <c r="M476" i="1"/>
  <c r="M416" i="1"/>
  <c r="M319" i="1"/>
  <c r="M248" i="1"/>
  <c r="M168" i="1"/>
  <c r="M103" i="1"/>
  <c r="M21" i="1"/>
  <c r="M478" i="1"/>
  <c r="M469" i="1"/>
  <c r="M397" i="1"/>
  <c r="M313" i="1"/>
  <c r="M247" i="1"/>
  <c r="M163" i="1"/>
  <c r="M97" i="1"/>
  <c r="M20" i="1"/>
  <c r="M325" i="1"/>
  <c r="L492" i="1" a="1"/>
  <c r="L492" i="1" s="1"/>
  <c r="L181" i="1" a="1"/>
  <c r="L181" i="1" s="1"/>
  <c r="M468" i="1"/>
  <c r="M396" i="1"/>
  <c r="M312" i="1"/>
  <c r="M241" i="1"/>
  <c r="M157" i="1"/>
  <c r="M85" i="1"/>
  <c r="M253" i="1"/>
  <c r="M252" i="1"/>
  <c r="L456" i="1" a="1"/>
  <c r="L456" i="1" s="1"/>
  <c r="L157" i="1" a="1"/>
  <c r="L157" i="1" s="1"/>
  <c r="M462" i="1"/>
  <c r="M392" i="1"/>
  <c r="M307" i="1"/>
  <c r="M229" i="1"/>
  <c r="M156" i="1"/>
  <c r="M84" i="1"/>
  <c r="M108" i="1"/>
  <c r="M420" i="1"/>
  <c r="M25" i="1"/>
  <c r="L445" i="1" a="1"/>
  <c r="L445" i="1" s="1"/>
  <c r="L108" i="1" a="1"/>
  <c r="L108" i="1" s="1"/>
  <c r="M457" i="1"/>
  <c r="M391" i="1"/>
  <c r="M301" i="1"/>
  <c r="M228" i="1"/>
  <c r="M142" i="1"/>
  <c r="M59" i="1"/>
  <c r="M395" i="1"/>
  <c r="M371" i="1"/>
  <c r="M251" i="1"/>
  <c r="M227" i="1"/>
  <c r="M107" i="1"/>
  <c r="M83" i="1"/>
  <c r="L444" i="1" a="1"/>
  <c r="L444" i="1" s="1"/>
  <c r="L272" i="1" a="1"/>
  <c r="L272" i="1" s="1"/>
  <c r="L12" i="1" a="1"/>
  <c r="L12" i="1" s="1"/>
  <c r="M475" i="1"/>
  <c r="M455" i="1"/>
  <c r="M427" i="1"/>
  <c r="M394" i="1"/>
  <c r="M361" i="1"/>
  <c r="M337" i="1"/>
  <c r="M311" i="1"/>
  <c r="M283" i="1"/>
  <c r="M250" i="1"/>
  <c r="M217" i="1"/>
  <c r="M193" i="1"/>
  <c r="M167" i="1"/>
  <c r="M139" i="1"/>
  <c r="M106" i="1"/>
  <c r="M73" i="1"/>
  <c r="M49" i="1"/>
  <c r="M24" i="1"/>
  <c r="L432" i="1" a="1"/>
  <c r="L432" i="1" s="1"/>
  <c r="L260" i="1" a="1"/>
  <c r="L260" i="1" s="1"/>
  <c r="L121" i="1" a="1"/>
  <c r="L121" i="1" s="1"/>
  <c r="M499" i="1"/>
  <c r="M474" i="1"/>
  <c r="M451" i="1"/>
  <c r="M421" i="1"/>
  <c r="M393" i="1"/>
  <c r="M360" i="1"/>
  <c r="M336" i="1"/>
  <c r="M308" i="1"/>
  <c r="M277" i="1"/>
  <c r="M249" i="1"/>
  <c r="M216" i="1"/>
  <c r="M192" i="1"/>
  <c r="M164" i="1"/>
  <c r="M133" i="1"/>
  <c r="M105" i="1"/>
  <c r="M72" i="1"/>
  <c r="M48" i="1"/>
  <c r="M23" i="1"/>
  <c r="M359" i="1"/>
  <c r="M335" i="1"/>
  <c r="L107" i="1" a="1"/>
  <c r="L107" i="1" s="1"/>
  <c r="M419" i="1"/>
  <c r="M358" i="1"/>
  <c r="M275" i="1"/>
  <c r="M214" i="1"/>
  <c r="M131" i="1"/>
  <c r="M70" i="1"/>
  <c r="M492" i="1"/>
  <c r="M467" i="1"/>
  <c r="M444" i="1"/>
  <c r="M357" i="1"/>
  <c r="M324" i="1"/>
  <c r="M300" i="1"/>
  <c r="M69" i="1"/>
  <c r="L96" i="1" a="1"/>
  <c r="L96" i="1" s="1"/>
  <c r="M491" i="1"/>
  <c r="M466" i="1"/>
  <c r="M443" i="1"/>
  <c r="M415" i="1"/>
  <c r="M384" i="1"/>
  <c r="M356" i="1"/>
  <c r="M323" i="1"/>
  <c r="M299" i="1"/>
  <c r="M271" i="1"/>
  <c r="M240" i="1"/>
  <c r="M212" i="1"/>
  <c r="M179" i="1"/>
  <c r="M155" i="1"/>
  <c r="M127" i="1"/>
  <c r="M96" i="1"/>
  <c r="M68" i="1"/>
  <c r="M35" i="1"/>
  <c r="M18" i="1"/>
  <c r="M71" i="1"/>
  <c r="L370" i="1" a="1"/>
  <c r="L370" i="1" s="1"/>
  <c r="L229" i="1" a="1"/>
  <c r="L229" i="1" s="1"/>
  <c r="L85" i="1" a="1"/>
  <c r="L85" i="1" s="1"/>
  <c r="M481" i="1"/>
  <c r="M465" i="1"/>
  <c r="M433" i="1"/>
  <c r="M409" i="1"/>
  <c r="M383" i="1"/>
  <c r="M355" i="1"/>
  <c r="M322" i="1"/>
  <c r="M289" i="1"/>
  <c r="M265" i="1"/>
  <c r="M239" i="1"/>
  <c r="M211" i="1"/>
  <c r="M178" i="1"/>
  <c r="M145" i="1"/>
  <c r="M121" i="1"/>
  <c r="M95" i="1"/>
  <c r="M67" i="1"/>
  <c r="M34" i="1"/>
  <c r="M13" i="1"/>
  <c r="M213" i="1"/>
  <c r="K264" i="1"/>
  <c r="L59" i="1" a="1"/>
  <c r="L59" i="1" s="1"/>
  <c r="M480" i="1"/>
  <c r="M464" i="1"/>
  <c r="M432" i="1"/>
  <c r="M408" i="1"/>
  <c r="M380" i="1"/>
  <c r="M349" i="1"/>
  <c r="M321" i="1"/>
  <c r="M288" i="1"/>
  <c r="M264" i="1"/>
  <c r="M236" i="1"/>
  <c r="M205" i="1"/>
  <c r="M177" i="1"/>
  <c r="M144" i="1"/>
  <c r="M120" i="1"/>
  <c r="M92" i="1"/>
  <c r="M61" i="1"/>
  <c r="M33" i="1"/>
  <c r="M12" i="1"/>
  <c r="M215" i="1"/>
  <c r="M191" i="1"/>
  <c r="M47" i="1"/>
  <c r="L348" i="1" a="1"/>
  <c r="L348" i="1" s="1"/>
  <c r="L228" i="1" a="1"/>
  <c r="L228" i="1" s="1"/>
  <c r="M479" i="1"/>
  <c r="M463" i="1"/>
  <c r="M431" i="1"/>
  <c r="M407" i="1"/>
  <c r="M379" i="1"/>
  <c r="M348" i="1"/>
  <c r="M320" i="1"/>
  <c r="M287" i="1"/>
  <c r="M263" i="1"/>
  <c r="M235" i="1"/>
  <c r="M204" i="1"/>
  <c r="M176" i="1"/>
  <c r="M143" i="1"/>
  <c r="M119" i="1"/>
  <c r="M91" i="1"/>
  <c r="M60" i="1"/>
  <c r="M32" i="1"/>
  <c r="M11" i="1"/>
  <c r="M99" i="1"/>
  <c r="M27" i="1"/>
  <c r="K470" i="1"/>
  <c r="L470" i="1" a="1"/>
  <c r="L470" i="1" s="1"/>
  <c r="K326" i="1"/>
  <c r="L326" i="1" a="1"/>
  <c r="L326" i="1" s="1"/>
  <c r="K86" i="1"/>
  <c r="L86" i="1" a="1"/>
  <c r="L86" i="1" s="1"/>
  <c r="L302" i="1" a="1"/>
  <c r="L302" i="1" s="1"/>
  <c r="M194" i="1"/>
  <c r="L110" i="1" a="1"/>
  <c r="L110" i="1" s="1"/>
  <c r="L164" i="1" a="1"/>
  <c r="L164" i="1" s="1"/>
  <c r="M489" i="1"/>
  <c r="M441" i="1"/>
  <c r="M405" i="1"/>
  <c r="M369" i="1"/>
  <c r="M333" i="1"/>
  <c r="M297" i="1"/>
  <c r="M261" i="1"/>
  <c r="M225" i="1"/>
  <c r="M189" i="1"/>
  <c r="M153" i="1"/>
  <c r="M117" i="1"/>
  <c r="M81" i="1"/>
  <c r="L20" i="1" a="1"/>
  <c r="L20" i="1" s="1"/>
  <c r="M488" i="1"/>
  <c r="M470" i="1"/>
  <c r="M440" i="1"/>
  <c r="M404" i="1"/>
  <c r="M368" i="1"/>
  <c r="M332" i="1"/>
  <c r="M296" i="1"/>
  <c r="M260" i="1"/>
  <c r="M224" i="1"/>
  <c r="M188" i="1"/>
  <c r="M152" i="1"/>
  <c r="M116" i="1"/>
  <c r="M80" i="1"/>
  <c r="M10" i="1"/>
  <c r="M438" i="1"/>
  <c r="M426" i="1"/>
  <c r="M414" i="1"/>
  <c r="M402" i="1"/>
  <c r="M390" i="1"/>
  <c r="M378" i="1"/>
  <c r="M366" i="1"/>
  <c r="M354" i="1"/>
  <c r="M342" i="1"/>
  <c r="M330" i="1"/>
  <c r="M318" i="1"/>
  <c r="M306" i="1"/>
  <c r="M294" i="1"/>
  <c r="M282" i="1"/>
  <c r="M270" i="1"/>
  <c r="M258" i="1"/>
  <c r="M246" i="1"/>
  <c r="M234" i="1"/>
  <c r="M222" i="1"/>
  <c r="M210" i="1"/>
  <c r="M198" i="1"/>
  <c r="M186" i="1"/>
  <c r="M174" i="1"/>
  <c r="M162" i="1"/>
  <c r="M150" i="1"/>
  <c r="M138" i="1"/>
  <c r="M126" i="1"/>
  <c r="M114" i="1"/>
  <c r="M102" i="1"/>
  <c r="M90" i="1"/>
  <c r="M78" i="1"/>
  <c r="M66" i="1"/>
  <c r="M54" i="1"/>
  <c r="M42" i="1"/>
  <c r="M6" i="1"/>
  <c r="L314" i="1" a="1"/>
  <c r="L314" i="1" s="1"/>
  <c r="L158" i="1" a="1"/>
  <c r="L158" i="1" s="1"/>
  <c r="M487" i="1"/>
  <c r="M454" i="1"/>
  <c r="M439" i="1"/>
  <c r="M403" i="1"/>
  <c r="M367" i="1"/>
  <c r="M331" i="1"/>
  <c r="M295" i="1"/>
  <c r="M259" i="1"/>
  <c r="M223" i="1"/>
  <c r="M187" i="1"/>
  <c r="M151" i="1"/>
  <c r="M115" i="1"/>
  <c r="M79" i="1"/>
  <c r="M43" i="1"/>
  <c r="M9" i="1"/>
  <c r="L206" i="1" a="1"/>
  <c r="L206" i="1" s="1"/>
  <c r="M494" i="1"/>
  <c r="M122" i="1"/>
  <c r="M86" i="1"/>
  <c r="M50" i="1"/>
  <c r="M14" i="1"/>
  <c r="K142" i="1"/>
  <c r="L142" i="1" a="1"/>
  <c r="L142" i="1" s="1"/>
  <c r="M458" i="1"/>
  <c r="M46" i="1"/>
  <c r="M26" i="1"/>
  <c r="M44" i="1"/>
  <c r="M497" i="1"/>
  <c r="M485" i="1"/>
  <c r="M473" i="1"/>
  <c r="M461" i="1"/>
  <c r="M449" i="1"/>
  <c r="M437" i="1"/>
  <c r="M425" i="1"/>
  <c r="M413" i="1"/>
  <c r="M401" i="1"/>
  <c r="M389" i="1"/>
  <c r="M377" i="1"/>
  <c r="M365" i="1"/>
  <c r="M353" i="1"/>
  <c r="M341" i="1"/>
  <c r="M329" i="1"/>
  <c r="M317" i="1"/>
  <c r="M305" i="1"/>
  <c r="M293" i="1"/>
  <c r="M281" i="1"/>
  <c r="M269" i="1"/>
  <c r="M257" i="1"/>
  <c r="M245" i="1"/>
  <c r="M233" i="1"/>
  <c r="M221" i="1"/>
  <c r="M209" i="1"/>
  <c r="M197" i="1"/>
  <c r="M185" i="1"/>
  <c r="M173" i="1"/>
  <c r="M161" i="1"/>
  <c r="M149" i="1"/>
  <c r="M137" i="1"/>
  <c r="M125" i="1"/>
  <c r="M113" i="1"/>
  <c r="M101" i="1"/>
  <c r="M89" i="1"/>
  <c r="M77" i="1"/>
  <c r="M65" i="1"/>
  <c r="M53" i="1"/>
  <c r="M41" i="1"/>
  <c r="M29" i="1"/>
  <c r="M17" i="1"/>
  <c r="M5" i="1"/>
  <c r="L422" i="1" a="1"/>
  <c r="L422" i="1" s="1"/>
  <c r="M501" i="1"/>
  <c r="M486" i="1"/>
  <c r="M453" i="1"/>
  <c r="M434" i="1"/>
  <c r="M418" i="1"/>
  <c r="M398" i="1"/>
  <c r="M382" i="1"/>
  <c r="M362" i="1"/>
  <c r="M346" i="1"/>
  <c r="M326" i="1"/>
  <c r="M310" i="1"/>
  <c r="M290" i="1"/>
  <c r="M274" i="1"/>
  <c r="M254" i="1"/>
  <c r="M238" i="1"/>
  <c r="M218" i="1"/>
  <c r="M202" i="1"/>
  <c r="M182" i="1"/>
  <c r="M166" i="1"/>
  <c r="M146" i="1"/>
  <c r="M130" i="1"/>
  <c r="M110" i="1"/>
  <c r="M94" i="1"/>
  <c r="M74" i="1"/>
  <c r="M58" i="1"/>
  <c r="M38" i="1"/>
  <c r="M8" i="1"/>
  <c r="M495" i="1"/>
  <c r="M483" i="1"/>
  <c r="M471" i="1"/>
  <c r="M459" i="1"/>
  <c r="M447" i="1"/>
  <c r="M435" i="1"/>
  <c r="M423" i="1"/>
  <c r="M411" i="1"/>
  <c r="M399" i="1"/>
  <c r="M387" i="1"/>
  <c r="M375" i="1"/>
  <c r="M363" i="1"/>
  <c r="M351" i="1"/>
  <c r="M339" i="1"/>
  <c r="M327" i="1"/>
  <c r="M315" i="1"/>
  <c r="M303" i="1"/>
  <c r="M291" i="1"/>
  <c r="M279" i="1"/>
  <c r="M267" i="1"/>
  <c r="M255" i="1"/>
  <c r="M243" i="1"/>
  <c r="M231" i="1"/>
  <c r="M219" i="1"/>
  <c r="M207" i="1"/>
  <c r="M195" i="1"/>
  <c r="M183" i="1"/>
  <c r="M171" i="1"/>
  <c r="M159" i="1"/>
  <c r="M147" i="1"/>
  <c r="M135" i="1"/>
  <c r="M123" i="1"/>
  <c r="M111" i="1"/>
  <c r="M87" i="1"/>
  <c r="M75" i="1"/>
  <c r="M63" i="1"/>
  <c r="M51" i="1"/>
  <c r="M39" i="1"/>
  <c r="M15" i="1"/>
  <c r="M3" i="1"/>
  <c r="K398" i="1"/>
  <c r="L398" i="1" a="1"/>
  <c r="L398" i="1" s="1"/>
  <c r="M446" i="1"/>
  <c r="M410" i="1"/>
  <c r="M374" i="1"/>
  <c r="M338" i="1"/>
  <c r="M302" i="1"/>
  <c r="M266" i="1"/>
  <c r="M230" i="1"/>
  <c r="M158" i="1"/>
  <c r="L182" i="1" a="1"/>
  <c r="L182" i="1" s="1"/>
  <c r="L254" i="1" a="1"/>
  <c r="L254" i="1" s="1"/>
  <c r="L22" i="1" a="1"/>
  <c r="L22" i="1" s="1"/>
  <c r="M490" i="1"/>
  <c r="M442" i="1"/>
  <c r="M422" i="1"/>
  <c r="M406" i="1"/>
  <c r="M386" i="1"/>
  <c r="M370" i="1"/>
  <c r="M350" i="1"/>
  <c r="M334" i="1"/>
  <c r="M314" i="1"/>
  <c r="M298" i="1"/>
  <c r="M278" i="1"/>
  <c r="M262" i="1"/>
  <c r="M242" i="1"/>
  <c r="M226" i="1"/>
  <c r="M206" i="1"/>
  <c r="M190" i="1"/>
  <c r="M170" i="1"/>
  <c r="M154" i="1"/>
  <c r="M134" i="1"/>
  <c r="M118" i="1"/>
  <c r="M98" i="1"/>
  <c r="M82" i="1"/>
  <c r="M62" i="1"/>
  <c r="M45" i="1"/>
  <c r="M496" i="1"/>
  <c r="M484" i="1"/>
  <c r="M472" i="1"/>
  <c r="M460" i="1"/>
  <c r="M448" i="1"/>
  <c r="M436" i="1"/>
  <c r="M424" i="1"/>
  <c r="M412" i="1"/>
  <c r="M400" i="1"/>
  <c r="M388" i="1"/>
  <c r="M376" i="1"/>
  <c r="M364" i="1"/>
  <c r="M352" i="1"/>
  <c r="M340" i="1"/>
  <c r="M328" i="1"/>
  <c r="M316" i="1"/>
  <c r="M304" i="1"/>
  <c r="M292" i="1"/>
  <c r="M280" i="1"/>
  <c r="M268" i="1"/>
  <c r="M256" i="1"/>
  <c r="M244" i="1"/>
  <c r="M232" i="1"/>
  <c r="M220" i="1"/>
  <c r="M208" i="1"/>
  <c r="M196" i="1"/>
  <c r="M184" i="1"/>
  <c r="M172" i="1"/>
  <c r="M160" i="1"/>
  <c r="M148" i="1"/>
  <c r="M136" i="1"/>
  <c r="M124" i="1"/>
  <c r="M112" i="1"/>
  <c r="M100" i="1"/>
  <c r="M88" i="1"/>
  <c r="M76" i="1"/>
  <c r="M64" i="1"/>
  <c r="M52" i="1"/>
  <c r="M40" i="1"/>
  <c r="M28" i="1"/>
  <c r="M16" i="1"/>
  <c r="M4" i="1"/>
  <c r="L494" i="1" a="1"/>
  <c r="L494" i="1" s="1"/>
  <c r="L122" i="1" a="1"/>
  <c r="L122" i="1" s="1"/>
  <c r="M500" i="1"/>
  <c r="M482" i="1"/>
  <c r="M452" i="1"/>
  <c r="M417" i="1"/>
  <c r="M381" i="1"/>
  <c r="M345" i="1"/>
  <c r="M309" i="1"/>
  <c r="M273" i="1"/>
  <c r="M237" i="1"/>
  <c r="M201" i="1"/>
  <c r="M165" i="1"/>
  <c r="M129" i="1"/>
  <c r="M93" i="1"/>
  <c r="M57" i="1"/>
  <c r="M22" i="1"/>
  <c r="M7" i="1"/>
  <c r="L480" i="1" a="1"/>
  <c r="L480" i="1" s="1"/>
  <c r="L408" i="1" a="1"/>
  <c r="L408" i="1" s="1"/>
  <c r="L216" i="1" a="1"/>
  <c r="L216" i="1" s="1"/>
  <c r="L156" i="1" a="1"/>
  <c r="L156" i="1" s="1"/>
  <c r="L134" i="1" a="1"/>
  <c r="L134" i="1" s="1"/>
  <c r="L73" i="1" a="1"/>
  <c r="L73" i="1" s="1"/>
  <c r="L434" i="1" a="1"/>
  <c r="L434" i="1" s="1"/>
  <c r="L409" i="1" a="1"/>
  <c r="L409" i="1" s="1"/>
  <c r="L374" i="1" a="1"/>
  <c r="L374" i="1" s="1"/>
  <c r="L361" i="1" a="1"/>
  <c r="L361" i="1" s="1"/>
  <c r="L338" i="1" a="1"/>
  <c r="L338" i="1" s="1"/>
  <c r="L217" i="1" a="1"/>
  <c r="L217" i="1" s="1"/>
  <c r="L166" i="1" a="1"/>
  <c r="L166" i="1" s="1"/>
  <c r="L38" i="1" a="1"/>
  <c r="L38" i="1" s="1"/>
  <c r="L468" i="1" a="1"/>
  <c r="L468" i="1" s="1"/>
  <c r="L433" i="1" a="1"/>
  <c r="L433" i="1" s="1"/>
  <c r="L319" i="1" a="1"/>
  <c r="L319" i="1" s="1"/>
  <c r="L289" i="1" a="1"/>
  <c r="L289" i="1" s="1"/>
  <c r="L266" i="1" a="1"/>
  <c r="L266" i="1" s="1"/>
  <c r="L132" i="1" a="1"/>
  <c r="L132" i="1" s="1"/>
  <c r="L14" i="1" a="1"/>
  <c r="L14" i="1" s="1"/>
  <c r="L139" i="1" a="1"/>
  <c r="L139" i="1" s="1"/>
  <c r="L373" i="1" a="1"/>
  <c r="L373" i="1" s="1"/>
  <c r="L337" i="1" a="1"/>
  <c r="L337" i="1" s="1"/>
  <c r="L193" i="1" a="1"/>
  <c r="L193" i="1" s="1"/>
  <c r="L37" i="1" a="1"/>
  <c r="L37" i="1" s="1"/>
  <c r="L367" i="1" a="1"/>
  <c r="L367" i="1" s="1"/>
  <c r="L391" i="1" a="1"/>
  <c r="L391" i="1" s="1"/>
  <c r="L362" i="1" a="1"/>
  <c r="L362" i="1" s="1"/>
  <c r="L151" i="1" a="1"/>
  <c r="L151" i="1" s="1"/>
  <c r="L482" i="1" a="1"/>
  <c r="L482" i="1" s="1"/>
  <c r="L331" i="1" a="1"/>
  <c r="L331" i="1" s="1"/>
  <c r="L379" i="1" a="1"/>
  <c r="L379" i="1" s="1"/>
  <c r="L199" i="1" a="1"/>
  <c r="L199" i="1" s="1"/>
  <c r="L271" i="1" a="1"/>
  <c r="L271" i="1" s="1"/>
  <c r="L431" i="1" a="1"/>
  <c r="L431" i="1" s="1"/>
  <c r="L372" i="1" a="1"/>
  <c r="L372" i="1" s="1"/>
  <c r="L350" i="1" a="1"/>
  <c r="L350" i="1" s="1"/>
  <c r="L278" i="1" a="1"/>
  <c r="L278" i="1" s="1"/>
  <c r="L262" i="1" a="1"/>
  <c r="L262" i="1" s="1"/>
  <c r="L145" i="1" a="1"/>
  <c r="L145" i="1" s="1"/>
  <c r="L58" i="1" a="1"/>
  <c r="L58" i="1" s="1"/>
  <c r="L36" i="1" a="1"/>
  <c r="L36" i="1" s="1"/>
  <c r="M2" i="1"/>
  <c r="K491" i="1"/>
  <c r="L491" i="1" a="1"/>
  <c r="L491" i="1" s="1"/>
  <c r="K467" i="1"/>
  <c r="L467" i="1" a="1"/>
  <c r="L467" i="1" s="1"/>
  <c r="K443" i="1"/>
  <c r="L443" i="1" a="1"/>
  <c r="L443" i="1" s="1"/>
  <c r="K395" i="1"/>
  <c r="L395" i="1" a="1"/>
  <c r="L395" i="1" s="1"/>
  <c r="K371" i="1"/>
  <c r="L371" i="1" a="1"/>
  <c r="L371" i="1" s="1"/>
  <c r="K347" i="1"/>
  <c r="L347" i="1" a="1"/>
  <c r="L347" i="1" s="1"/>
  <c r="K299" i="1"/>
  <c r="L299" i="1" a="1"/>
  <c r="L299" i="1" s="1"/>
  <c r="K263" i="1"/>
  <c r="L263" i="1" a="1"/>
  <c r="L263" i="1" s="1"/>
  <c r="K239" i="1"/>
  <c r="L239" i="1" a="1"/>
  <c r="L239" i="1" s="1"/>
  <c r="K215" i="1"/>
  <c r="L215" i="1" a="1"/>
  <c r="L215" i="1" s="1"/>
  <c r="K179" i="1"/>
  <c r="L179" i="1" a="1"/>
  <c r="L179" i="1" s="1"/>
  <c r="K71" i="1"/>
  <c r="L71" i="1" a="1"/>
  <c r="L71" i="1" s="1"/>
  <c r="K47" i="1"/>
  <c r="L47" i="1" a="1"/>
  <c r="L47" i="1" s="1"/>
  <c r="K23" i="1"/>
  <c r="L23" i="1" a="1"/>
  <c r="L23" i="1" s="1"/>
  <c r="K418" i="1"/>
  <c r="L418" i="1" a="1"/>
  <c r="L418" i="1" s="1"/>
  <c r="K394" i="1"/>
  <c r="L394" i="1" a="1"/>
  <c r="L394" i="1" s="1"/>
  <c r="K334" i="1"/>
  <c r="L334" i="1" a="1"/>
  <c r="L334" i="1" s="1"/>
  <c r="K250" i="1"/>
  <c r="L250" i="1" a="1"/>
  <c r="L250" i="1" s="1"/>
  <c r="K501" i="1"/>
  <c r="L501" i="1" a="1"/>
  <c r="L501" i="1" s="1"/>
  <c r="K477" i="1"/>
  <c r="L477" i="1" a="1"/>
  <c r="L477" i="1" s="1"/>
  <c r="K465" i="1"/>
  <c r="L465" i="1" a="1"/>
  <c r="L465" i="1" s="1"/>
  <c r="K441" i="1"/>
  <c r="L441" i="1" a="1"/>
  <c r="L441" i="1" s="1"/>
  <c r="K405" i="1"/>
  <c r="L405" i="1" a="1"/>
  <c r="L405" i="1" s="1"/>
  <c r="K357" i="1"/>
  <c r="L357" i="1" a="1"/>
  <c r="L357" i="1" s="1"/>
  <c r="K321" i="1"/>
  <c r="L321" i="1" a="1"/>
  <c r="L321" i="1" s="1"/>
  <c r="K297" i="1"/>
  <c r="L297" i="1" a="1"/>
  <c r="L297" i="1" s="1"/>
  <c r="K273" i="1"/>
  <c r="L273" i="1" a="1"/>
  <c r="L273" i="1" s="1"/>
  <c r="K249" i="1"/>
  <c r="L249" i="1" a="1"/>
  <c r="L249" i="1" s="1"/>
  <c r="K225" i="1"/>
  <c r="L225" i="1" a="1"/>
  <c r="L225" i="1" s="1"/>
  <c r="K201" i="1"/>
  <c r="L201" i="1" a="1"/>
  <c r="L201" i="1" s="1"/>
  <c r="K177" i="1"/>
  <c r="L177" i="1" a="1"/>
  <c r="L177" i="1" s="1"/>
  <c r="K141" i="1"/>
  <c r="K105" i="1"/>
  <c r="L105" i="1" a="1"/>
  <c r="L105" i="1" s="1"/>
  <c r="K81" i="1"/>
  <c r="L81" i="1" a="1"/>
  <c r="L81" i="1" s="1"/>
  <c r="K45" i="1"/>
  <c r="L45" i="1" a="1"/>
  <c r="L45" i="1" s="1"/>
  <c r="K9" i="1"/>
  <c r="L9" i="1" a="1"/>
  <c r="L9" i="1" s="1"/>
  <c r="K56" i="1"/>
  <c r="L56" i="1" a="1"/>
  <c r="L56" i="1" s="1"/>
  <c r="K487" i="1"/>
  <c r="L487" i="1" a="1"/>
  <c r="L487" i="1" s="1"/>
  <c r="K427" i="1"/>
  <c r="L427" i="1" a="1"/>
  <c r="L427" i="1" s="1"/>
  <c r="K283" i="1"/>
  <c r="L283" i="1" a="1"/>
  <c r="L283" i="1" s="1"/>
  <c r="K247" i="1"/>
  <c r="L247" i="1" a="1"/>
  <c r="L247" i="1" s="1"/>
  <c r="K223" i="1"/>
  <c r="L223" i="1" a="1"/>
  <c r="L223" i="1" s="1"/>
  <c r="K211" i="1"/>
  <c r="L211" i="1" a="1"/>
  <c r="L211" i="1" s="1"/>
  <c r="K187" i="1"/>
  <c r="L187" i="1" a="1"/>
  <c r="L187" i="1" s="1"/>
  <c r="K91" i="1"/>
  <c r="L91" i="1" a="1"/>
  <c r="L91" i="1" s="1"/>
  <c r="K55" i="1"/>
  <c r="L55" i="1" a="1"/>
  <c r="L55" i="1" s="1"/>
  <c r="K31" i="1"/>
  <c r="L31" i="1" a="1"/>
  <c r="L31" i="1" s="1"/>
  <c r="L35" i="1" a="1"/>
  <c r="L35" i="1" s="1"/>
  <c r="L359" i="1" a="1"/>
  <c r="L359" i="1" s="1"/>
  <c r="L462" i="1" a="1"/>
  <c r="L462" i="1" s="1"/>
  <c r="L451" i="1" a="1"/>
  <c r="L451" i="1" s="1"/>
  <c r="L295" i="1" a="1"/>
  <c r="L295" i="1" s="1"/>
  <c r="L131" i="1" a="1"/>
  <c r="L131" i="1" s="1"/>
  <c r="L10" i="1" a="1"/>
  <c r="L10" i="1" s="1"/>
  <c r="K479" i="1"/>
  <c r="L479" i="1" a="1"/>
  <c r="L479" i="1" s="1"/>
  <c r="K455" i="1"/>
  <c r="L455" i="1" a="1"/>
  <c r="L455" i="1" s="1"/>
  <c r="K407" i="1"/>
  <c r="L407" i="1" a="1"/>
  <c r="L407" i="1" s="1"/>
  <c r="K383" i="1"/>
  <c r="L383" i="1" a="1"/>
  <c r="L383" i="1" s="1"/>
  <c r="K335" i="1"/>
  <c r="L335" i="1" a="1"/>
  <c r="L335" i="1" s="1"/>
  <c r="K323" i="1"/>
  <c r="L323" i="1" a="1"/>
  <c r="L323" i="1" s="1"/>
  <c r="K311" i="1"/>
  <c r="L311" i="1" a="1"/>
  <c r="L311" i="1" s="1"/>
  <c r="K275" i="1"/>
  <c r="L275" i="1" a="1"/>
  <c r="L275" i="1" s="1"/>
  <c r="K227" i="1"/>
  <c r="L227" i="1" a="1"/>
  <c r="L227" i="1" s="1"/>
  <c r="K191" i="1"/>
  <c r="L191" i="1" a="1"/>
  <c r="L191" i="1" s="1"/>
  <c r="K167" i="1"/>
  <c r="L167" i="1" a="1"/>
  <c r="L167" i="1" s="1"/>
  <c r="K155" i="1"/>
  <c r="L155" i="1" a="1"/>
  <c r="L155" i="1" s="1"/>
  <c r="K119" i="1"/>
  <c r="L119" i="1" a="1"/>
  <c r="L119" i="1" s="1"/>
  <c r="K83" i="1"/>
  <c r="L83" i="1" a="1"/>
  <c r="L83" i="1" s="1"/>
  <c r="K11" i="1"/>
  <c r="L11" i="1" a="1"/>
  <c r="L11" i="1" s="1"/>
  <c r="L287" i="1" a="1"/>
  <c r="L287" i="1" s="1"/>
  <c r="K490" i="1"/>
  <c r="L490" i="1" a="1"/>
  <c r="L490" i="1" s="1"/>
  <c r="K478" i="1"/>
  <c r="L478" i="1" a="1"/>
  <c r="L478" i="1" s="1"/>
  <c r="K430" i="1"/>
  <c r="L430" i="1" a="1"/>
  <c r="L430" i="1" s="1"/>
  <c r="K406" i="1"/>
  <c r="L406" i="1" a="1"/>
  <c r="L406" i="1" s="1"/>
  <c r="K346" i="1"/>
  <c r="L346" i="1" a="1"/>
  <c r="L346" i="1" s="1"/>
  <c r="K310" i="1"/>
  <c r="L310" i="1" a="1"/>
  <c r="L310" i="1" s="1"/>
  <c r="K274" i="1"/>
  <c r="L274" i="1" a="1"/>
  <c r="L274" i="1" s="1"/>
  <c r="K226" i="1"/>
  <c r="L226" i="1" a="1"/>
  <c r="L226" i="1" s="1"/>
  <c r="K214" i="1"/>
  <c r="L214" i="1" a="1"/>
  <c r="L214" i="1" s="1"/>
  <c r="K202" i="1"/>
  <c r="L202" i="1" a="1"/>
  <c r="L202" i="1" s="1"/>
  <c r="K190" i="1"/>
  <c r="L190" i="1" a="1"/>
  <c r="L190" i="1" s="1"/>
  <c r="K178" i="1"/>
  <c r="L178" i="1" a="1"/>
  <c r="L178" i="1" s="1"/>
  <c r="K154" i="1"/>
  <c r="L154" i="1" a="1"/>
  <c r="L154" i="1" s="1"/>
  <c r="K130" i="1"/>
  <c r="L130" i="1" a="1"/>
  <c r="L130" i="1" s="1"/>
  <c r="K118" i="1"/>
  <c r="L118" i="1" a="1"/>
  <c r="L118" i="1" s="1"/>
  <c r="K106" i="1"/>
  <c r="L106" i="1" a="1"/>
  <c r="L106" i="1" s="1"/>
  <c r="K94" i="1"/>
  <c r="L94" i="1" a="1"/>
  <c r="L94" i="1" s="1"/>
  <c r="K82" i="1"/>
  <c r="L82" i="1" a="1"/>
  <c r="L82" i="1" s="1"/>
  <c r="K70" i="1"/>
  <c r="L70" i="1" a="1"/>
  <c r="L70" i="1" s="1"/>
  <c r="K34" i="1"/>
  <c r="L34" i="1" a="1"/>
  <c r="L34" i="1" s="1"/>
  <c r="L238" i="1" a="1"/>
  <c r="L238" i="1" s="1"/>
  <c r="K489" i="1"/>
  <c r="L489" i="1" a="1"/>
  <c r="L489" i="1" s="1"/>
  <c r="K429" i="1"/>
  <c r="L429" i="1" a="1"/>
  <c r="L429" i="1" s="1"/>
  <c r="K417" i="1"/>
  <c r="L417" i="1" a="1"/>
  <c r="L417" i="1" s="1"/>
  <c r="K393" i="1"/>
  <c r="L393" i="1" a="1"/>
  <c r="L393" i="1" s="1"/>
  <c r="K381" i="1"/>
  <c r="L381" i="1" a="1"/>
  <c r="L381" i="1" s="1"/>
  <c r="K369" i="1"/>
  <c r="L369" i="1" a="1"/>
  <c r="L369" i="1" s="1"/>
  <c r="K345" i="1"/>
  <c r="L345" i="1" a="1"/>
  <c r="L345" i="1" s="1"/>
  <c r="K333" i="1"/>
  <c r="L333" i="1" a="1"/>
  <c r="L333" i="1" s="1"/>
  <c r="K309" i="1"/>
  <c r="L309" i="1" a="1"/>
  <c r="L309" i="1" s="1"/>
  <c r="K261" i="1"/>
  <c r="L261" i="1" a="1"/>
  <c r="L261" i="1" s="1"/>
  <c r="K237" i="1"/>
  <c r="L237" i="1" a="1"/>
  <c r="L237" i="1" s="1"/>
  <c r="K213" i="1"/>
  <c r="L213" i="1" a="1"/>
  <c r="L213" i="1" s="1"/>
  <c r="K189" i="1"/>
  <c r="L189" i="1" a="1"/>
  <c r="L189" i="1" s="1"/>
  <c r="K165" i="1"/>
  <c r="L165" i="1" a="1"/>
  <c r="L165" i="1" s="1"/>
  <c r="K153" i="1"/>
  <c r="L153" i="1" a="1"/>
  <c r="L153" i="1" s="1"/>
  <c r="K129" i="1"/>
  <c r="L129" i="1" a="1"/>
  <c r="L129" i="1" s="1"/>
  <c r="K117" i="1"/>
  <c r="L117" i="1" a="1"/>
  <c r="L117" i="1" s="1"/>
  <c r="K93" i="1"/>
  <c r="L93" i="1" a="1"/>
  <c r="L93" i="1" s="1"/>
  <c r="K69" i="1"/>
  <c r="L69" i="1" a="1"/>
  <c r="L69" i="1" s="1"/>
  <c r="K57" i="1"/>
  <c r="L57" i="1" a="1"/>
  <c r="L57" i="1" s="1"/>
  <c r="K33" i="1"/>
  <c r="L33" i="1" a="1"/>
  <c r="L33" i="1" s="1"/>
  <c r="K21" i="1"/>
  <c r="L21" i="1" a="1"/>
  <c r="L21" i="1" s="1"/>
  <c r="L442" i="1" a="1"/>
  <c r="L442" i="1" s="1"/>
  <c r="K500" i="1"/>
  <c r="L500" i="1" a="1"/>
  <c r="L500" i="1" s="1"/>
  <c r="K488" i="1"/>
  <c r="L488" i="1" a="1"/>
  <c r="L488" i="1" s="1"/>
  <c r="K476" i="1"/>
  <c r="L476" i="1" a="1"/>
  <c r="L476" i="1" s="1"/>
  <c r="K464" i="1"/>
  <c r="L464" i="1" a="1"/>
  <c r="L464" i="1" s="1"/>
  <c r="K428" i="1"/>
  <c r="L428" i="1" a="1"/>
  <c r="L428" i="1" s="1"/>
  <c r="K416" i="1"/>
  <c r="L416" i="1" a="1"/>
  <c r="L416" i="1" s="1"/>
  <c r="K404" i="1"/>
  <c r="L404" i="1" a="1"/>
  <c r="L404" i="1" s="1"/>
  <c r="K392" i="1"/>
  <c r="L392" i="1" a="1"/>
  <c r="L392" i="1" s="1"/>
  <c r="K368" i="1"/>
  <c r="L368" i="1" a="1"/>
  <c r="L368" i="1" s="1"/>
  <c r="K356" i="1"/>
  <c r="L356" i="1" a="1"/>
  <c r="L356" i="1" s="1"/>
  <c r="K344" i="1"/>
  <c r="L344" i="1" a="1"/>
  <c r="L344" i="1" s="1"/>
  <c r="K332" i="1"/>
  <c r="L332" i="1" a="1"/>
  <c r="L332" i="1" s="1"/>
  <c r="K320" i="1"/>
  <c r="L320" i="1" a="1"/>
  <c r="L320" i="1" s="1"/>
  <c r="K308" i="1"/>
  <c r="L308" i="1" a="1"/>
  <c r="L308" i="1" s="1"/>
  <c r="K248" i="1"/>
  <c r="L248" i="1" a="1"/>
  <c r="L248" i="1" s="1"/>
  <c r="K236" i="1"/>
  <c r="L236" i="1" a="1"/>
  <c r="L236" i="1" s="1"/>
  <c r="K224" i="1"/>
  <c r="L224" i="1" a="1"/>
  <c r="L224" i="1" s="1"/>
  <c r="K212" i="1"/>
  <c r="L212" i="1" a="1"/>
  <c r="L212" i="1" s="1"/>
  <c r="K200" i="1"/>
  <c r="L200" i="1" a="1"/>
  <c r="L200" i="1" s="1"/>
  <c r="K188" i="1"/>
  <c r="L188" i="1" a="1"/>
  <c r="L188" i="1" s="1"/>
  <c r="K176" i="1"/>
  <c r="L176" i="1" a="1"/>
  <c r="L176" i="1" s="1"/>
  <c r="K152" i="1"/>
  <c r="L152" i="1" a="1"/>
  <c r="L152" i="1" s="1"/>
  <c r="K140" i="1"/>
  <c r="L140" i="1" a="1"/>
  <c r="L140" i="1" s="1"/>
  <c r="K128" i="1"/>
  <c r="L128" i="1" a="1"/>
  <c r="L128" i="1" s="1"/>
  <c r="K116" i="1"/>
  <c r="L116" i="1" a="1"/>
  <c r="L116" i="1" s="1"/>
  <c r="K104" i="1"/>
  <c r="L104" i="1" a="1"/>
  <c r="L104" i="1" s="1"/>
  <c r="K92" i="1"/>
  <c r="L92" i="1" a="1"/>
  <c r="L92" i="1" s="1"/>
  <c r="K80" i="1"/>
  <c r="L80" i="1" a="1"/>
  <c r="L80" i="1" s="1"/>
  <c r="K68" i="1"/>
  <c r="L68" i="1" a="1"/>
  <c r="L68" i="1" s="1"/>
  <c r="K44" i="1"/>
  <c r="L44" i="1" a="1"/>
  <c r="L44" i="1" s="1"/>
  <c r="K32" i="1"/>
  <c r="L32" i="1" a="1"/>
  <c r="L32" i="1" s="1"/>
  <c r="K8" i="1"/>
  <c r="L8" i="1" a="1"/>
  <c r="L8" i="1" s="1"/>
  <c r="L454" i="1" a="1"/>
  <c r="L454" i="1" s="1"/>
  <c r="L298" i="1" a="1"/>
  <c r="L298" i="1" s="1"/>
  <c r="K499" i="1"/>
  <c r="L499" i="1" a="1"/>
  <c r="L499" i="1" s="1"/>
  <c r="K463" i="1"/>
  <c r="L463" i="1" a="1"/>
  <c r="L463" i="1" s="1"/>
  <c r="K439" i="1"/>
  <c r="L439" i="1" a="1"/>
  <c r="L439" i="1" s="1"/>
  <c r="K415" i="1"/>
  <c r="L415" i="1" a="1"/>
  <c r="L415" i="1" s="1"/>
  <c r="K403" i="1"/>
  <c r="L403" i="1" a="1"/>
  <c r="L403" i="1" s="1"/>
  <c r="K355" i="1"/>
  <c r="L355" i="1" a="1"/>
  <c r="L355" i="1" s="1"/>
  <c r="K343" i="1"/>
  <c r="L343" i="1" a="1"/>
  <c r="L343" i="1" s="1"/>
  <c r="K259" i="1"/>
  <c r="L259" i="1" a="1"/>
  <c r="L259" i="1" s="1"/>
  <c r="K235" i="1"/>
  <c r="L235" i="1" a="1"/>
  <c r="L235" i="1" s="1"/>
  <c r="K163" i="1"/>
  <c r="L163" i="1" a="1"/>
  <c r="L163" i="1" s="1"/>
  <c r="K127" i="1"/>
  <c r="L127" i="1" a="1"/>
  <c r="L127" i="1" s="1"/>
  <c r="K115" i="1"/>
  <c r="L115" i="1" a="1"/>
  <c r="L115" i="1" s="1"/>
  <c r="K103" i="1"/>
  <c r="L103" i="1" a="1"/>
  <c r="L103" i="1" s="1"/>
  <c r="K79" i="1"/>
  <c r="L79" i="1" a="1"/>
  <c r="L79" i="1" s="1"/>
  <c r="K67" i="1"/>
  <c r="L67" i="1" a="1"/>
  <c r="L67" i="1" s="1"/>
  <c r="K43" i="1"/>
  <c r="L43" i="1" a="1"/>
  <c r="L43" i="1" s="1"/>
  <c r="K19" i="1"/>
  <c r="L19" i="1" a="1"/>
  <c r="L19" i="1" s="1"/>
  <c r="K7" i="1"/>
  <c r="L7" i="1" a="1"/>
  <c r="L7" i="1" s="1"/>
  <c r="L440" i="1" a="1"/>
  <c r="L440" i="1" s="1"/>
  <c r="L175" i="1" a="1"/>
  <c r="L175" i="1" s="1"/>
  <c r="K486" i="1"/>
  <c r="L486" i="1" a="1"/>
  <c r="L486" i="1" s="1"/>
  <c r="K450" i="1"/>
  <c r="L450" i="1" a="1"/>
  <c r="L450" i="1" s="1"/>
  <c r="K18" i="1"/>
  <c r="L18" i="1" a="1"/>
  <c r="L18" i="1" s="1"/>
  <c r="K453" i="1"/>
  <c r="L466" i="1" a="1"/>
  <c r="L466" i="1" s="1"/>
  <c r="L452" i="1" a="1"/>
  <c r="L452" i="1" s="1"/>
  <c r="L419" i="1" a="1"/>
  <c r="L419" i="1" s="1"/>
  <c r="L296" i="1" a="1"/>
  <c r="L296" i="1" s="1"/>
  <c r="L251" i="1" a="1"/>
  <c r="L251" i="1" s="1"/>
  <c r="L95" i="1" a="1"/>
  <c r="L95" i="1" s="1"/>
  <c r="L307" i="1" a="1"/>
  <c r="L307" i="1" s="1"/>
  <c r="L475" i="1" a="1"/>
  <c r="L475" i="1" s="1"/>
  <c r="L382" i="1" a="1"/>
  <c r="L382" i="1" s="1"/>
  <c r="L358" i="1" a="1"/>
  <c r="L358" i="1" s="1"/>
  <c r="L322" i="1" a="1"/>
  <c r="L322" i="1" s="1"/>
  <c r="L143" i="1" a="1"/>
  <c r="L143" i="1" s="1"/>
  <c r="K420" i="1"/>
  <c r="L420" i="1" a="1"/>
  <c r="L420" i="1" s="1"/>
  <c r="K360" i="1"/>
  <c r="L360" i="1" a="1"/>
  <c r="L360" i="1" s="1"/>
  <c r="K336" i="1"/>
  <c r="L336" i="1" a="1"/>
  <c r="L336" i="1" s="1"/>
  <c r="K300" i="1"/>
  <c r="L300" i="1" a="1"/>
  <c r="L300" i="1" s="1"/>
  <c r="K240" i="1"/>
  <c r="L240" i="1" a="1"/>
  <c r="L240" i="1" s="1"/>
  <c r="K204" i="1"/>
  <c r="L204" i="1" a="1"/>
  <c r="L204" i="1" s="1"/>
  <c r="K180" i="1"/>
  <c r="L180" i="1" a="1"/>
  <c r="L180" i="1" s="1"/>
  <c r="K144" i="1"/>
  <c r="L144" i="1" a="1"/>
  <c r="L144" i="1" s="1"/>
  <c r="K120" i="1"/>
  <c r="L120" i="1" a="1"/>
  <c r="L120" i="1" s="1"/>
  <c r="K84" i="1"/>
  <c r="L84" i="1" a="1"/>
  <c r="L84" i="1" s="1"/>
  <c r="K72" i="1"/>
  <c r="L72" i="1" a="1"/>
  <c r="L72" i="1" s="1"/>
  <c r="K60" i="1"/>
  <c r="L60" i="1" a="1"/>
  <c r="L60" i="1" s="1"/>
  <c r="K48" i="1"/>
  <c r="L48" i="1" a="1"/>
  <c r="L48" i="1" s="1"/>
  <c r="L288" i="1" a="1"/>
  <c r="L288" i="1" s="1"/>
  <c r="L396" i="1" a="1"/>
  <c r="L396" i="1" s="1"/>
  <c r="L384" i="1" a="1"/>
  <c r="L384" i="1" s="1"/>
  <c r="L312" i="1" a="1"/>
  <c r="L312" i="1" s="1"/>
  <c r="L192" i="1" a="1"/>
  <c r="L192" i="1" s="1"/>
  <c r="L168" i="1" a="1"/>
  <c r="L168" i="1" s="1"/>
  <c r="K493" i="1"/>
  <c r="L493" i="1" a="1"/>
  <c r="L493" i="1" s="1"/>
  <c r="K457" i="1"/>
  <c r="L457" i="1" a="1"/>
  <c r="L457" i="1" s="1"/>
  <c r="K421" i="1"/>
  <c r="L421" i="1" a="1"/>
  <c r="L421" i="1" s="1"/>
  <c r="K385" i="1"/>
  <c r="L385" i="1" a="1"/>
  <c r="L385" i="1" s="1"/>
  <c r="K349" i="1"/>
  <c r="L349" i="1" a="1"/>
  <c r="L349" i="1" s="1"/>
  <c r="K313" i="1"/>
  <c r="L313" i="1" a="1"/>
  <c r="L313" i="1" s="1"/>
  <c r="K277" i="1"/>
  <c r="L277" i="1" a="1"/>
  <c r="L277" i="1" s="1"/>
  <c r="K241" i="1"/>
  <c r="L241" i="1" a="1"/>
  <c r="L241" i="1" s="1"/>
  <c r="K205" i="1"/>
  <c r="L205" i="1" a="1"/>
  <c r="L205" i="1" s="1"/>
  <c r="K169" i="1"/>
  <c r="L169" i="1" a="1"/>
  <c r="L169" i="1" s="1"/>
  <c r="K133" i="1"/>
  <c r="L133" i="1" a="1"/>
  <c r="L133" i="1" s="1"/>
  <c r="K97" i="1"/>
  <c r="L97" i="1" a="1"/>
  <c r="L97" i="1" s="1"/>
  <c r="K61" i="1"/>
  <c r="L61" i="1" a="1"/>
  <c r="L61" i="1" s="1"/>
  <c r="K25" i="1"/>
  <c r="L25" i="1" a="1"/>
  <c r="L25" i="1" s="1"/>
  <c r="L481" i="1" a="1"/>
  <c r="L481" i="1" s="1"/>
  <c r="L446" i="1" a="1"/>
  <c r="L446" i="1" s="1"/>
  <c r="L386" i="1" a="1"/>
  <c r="L386" i="1" s="1"/>
  <c r="L325" i="1" a="1"/>
  <c r="L325" i="1" s="1"/>
  <c r="L290" i="1" a="1"/>
  <c r="L290" i="1" s="1"/>
  <c r="L265" i="1" a="1"/>
  <c r="L265" i="1" s="1"/>
  <c r="L230" i="1" a="1"/>
  <c r="L230" i="1" s="1"/>
  <c r="L13" i="1" a="1"/>
  <c r="L13" i="1" s="1"/>
  <c r="K98" i="1"/>
  <c r="L98" i="1" a="1"/>
  <c r="L98" i="1" s="1"/>
  <c r="K62" i="1"/>
  <c r="L62" i="1" a="1"/>
  <c r="L62" i="1" s="1"/>
  <c r="K26" i="1"/>
  <c r="L26" i="1" a="1"/>
  <c r="L26" i="1" s="1"/>
  <c r="L109" i="1" a="1"/>
  <c r="L109" i="1" s="1"/>
  <c r="L2" i="1" a="1"/>
  <c r="L2" i="1" s="1"/>
  <c r="K218" i="1" l="1"/>
  <c r="K50" i="1"/>
  <c r="L301" i="1" a="1"/>
  <c r="L301" i="1" s="1"/>
  <c r="L74" i="1" a="1"/>
  <c r="L74" i="1" s="1"/>
  <c r="K194" i="1"/>
  <c r="K410" i="1"/>
  <c r="L469" i="1" a="1"/>
  <c r="L469" i="1" s="1"/>
  <c r="L474" i="1" a="1"/>
  <c r="L474" i="1" s="1"/>
  <c r="L170" i="1" a="1"/>
  <c r="L170" i="1" s="1"/>
  <c r="L242" i="1" a="1"/>
  <c r="L242" i="1" s="1"/>
  <c r="L458" i="1" a="1"/>
  <c r="L458" i="1" s="1"/>
  <c r="K146" i="1"/>
  <c r="K30" i="1"/>
  <c r="L30" i="1" a="1"/>
  <c r="L30" i="1" s="1"/>
  <c r="L141" i="1" a="1"/>
  <c r="L141" i="1" s="1"/>
  <c r="K498" i="1"/>
  <c r="L63" i="1" a="1"/>
  <c r="L63" i="1" s="1"/>
  <c r="K285" i="1"/>
  <c r="L498" i="1" a="1"/>
  <c r="L498" i="1" s="1"/>
  <c r="L285" i="1" a="1"/>
  <c r="L285" i="1" s="1"/>
  <c r="K363" i="1"/>
  <c r="K342" i="1"/>
  <c r="K284" i="1"/>
  <c r="L280" i="1" a="1"/>
  <c r="L280" i="1" s="1"/>
  <c r="L286" i="1" a="1"/>
  <c r="L286" i="1" s="1"/>
  <c r="L363" i="1" a="1"/>
  <c r="L363" i="1" s="1"/>
  <c r="L125" i="1" a="1"/>
  <c r="L125" i="1" s="1"/>
  <c r="K42" i="1"/>
  <c r="L284" i="1" a="1"/>
  <c r="L284" i="1" s="1"/>
  <c r="K423" i="1"/>
  <c r="K53" i="1"/>
  <c r="L485" i="1" a="1"/>
  <c r="L485" i="1" s="1"/>
  <c r="K495" i="1"/>
  <c r="L257" i="1" a="1"/>
  <c r="L257" i="1" s="1"/>
  <c r="L64" i="1" a="1"/>
  <c r="L64" i="1" s="1"/>
  <c r="L136" i="1" a="1"/>
  <c r="L136" i="1" s="1"/>
  <c r="L352" i="1" a="1"/>
  <c r="L352" i="1" s="1"/>
  <c r="K246" i="1"/>
  <c r="K41" i="1"/>
  <c r="L497" i="1" a="1"/>
  <c r="L497" i="1" s="1"/>
  <c r="L148" i="1" a="1"/>
  <c r="L148" i="1" s="1"/>
  <c r="L149" i="1" a="1"/>
  <c r="L149" i="1" s="1"/>
  <c r="K207" i="1"/>
  <c r="L51" i="1" a="1"/>
  <c r="L51" i="1" s="1"/>
  <c r="L279" i="1" a="1"/>
  <c r="L279" i="1" s="1"/>
  <c r="L317" i="1" a="1"/>
  <c r="L317" i="1" s="1"/>
  <c r="K306" i="1"/>
  <c r="K279" i="1"/>
  <c r="L351" i="1" a="1"/>
  <c r="L351" i="1" s="1"/>
  <c r="K351" i="1"/>
  <c r="L390" i="1" a="1"/>
  <c r="L390" i="1" s="1"/>
  <c r="L184" i="1" a="1"/>
  <c r="L184" i="1" s="1"/>
  <c r="L328" i="1" a="1"/>
  <c r="L328" i="1" s="1"/>
  <c r="L378" i="1" a="1"/>
  <c r="L378" i="1" s="1"/>
  <c r="K135" i="1"/>
  <c r="K483" i="1"/>
  <c r="L207" i="1" a="1"/>
  <c r="L207" i="1" s="1"/>
  <c r="L495" i="1" a="1"/>
  <c r="L495" i="1" s="1"/>
  <c r="L483" i="1" a="1"/>
  <c r="L483" i="1" s="1"/>
  <c r="L267" i="1" a="1"/>
  <c r="L267" i="1" s="1"/>
  <c r="K76" i="1"/>
  <c r="L77" i="1" a="1"/>
  <c r="L77" i="1" s="1"/>
  <c r="K160" i="1"/>
  <c r="K15" i="1"/>
  <c r="K111" i="1"/>
  <c r="L183" i="1" a="1"/>
  <c r="L183" i="1" s="1"/>
  <c r="K255" i="1"/>
  <c r="K327" i="1"/>
  <c r="K399" i="1"/>
  <c r="K471" i="1"/>
  <c r="K17" i="1"/>
  <c r="K89" i="1"/>
  <c r="K161" i="1"/>
  <c r="K233" i="1"/>
  <c r="K305" i="1"/>
  <c r="L377" i="1" a="1"/>
  <c r="L377" i="1" s="1"/>
  <c r="K449" i="1"/>
  <c r="K78" i="1"/>
  <c r="K150" i="1"/>
  <c r="L222" i="1" a="1"/>
  <c r="L222" i="1" s="1"/>
  <c r="L294" i="1" a="1"/>
  <c r="L294" i="1" s="1"/>
  <c r="K366" i="1"/>
  <c r="K438" i="1"/>
  <c r="K292" i="1"/>
  <c r="K286" i="1"/>
  <c r="K267" i="1"/>
  <c r="K100" i="1"/>
  <c r="K172" i="1"/>
  <c r="K244" i="1"/>
  <c r="K316" i="1"/>
  <c r="K388" i="1"/>
  <c r="K460" i="1"/>
  <c r="K220" i="1"/>
  <c r="K3" i="1"/>
  <c r="K243" i="1"/>
  <c r="K459" i="1"/>
  <c r="L5" i="1" a="1"/>
  <c r="L5" i="1" s="1"/>
  <c r="K221" i="1"/>
  <c r="K437" i="1"/>
  <c r="L66" i="1" a="1"/>
  <c r="L66" i="1" s="1"/>
  <c r="K282" i="1"/>
  <c r="K426" i="1"/>
  <c r="K448" i="1"/>
  <c r="K39" i="1"/>
  <c r="K123" i="1"/>
  <c r="K195" i="1"/>
  <c r="K339" i="1"/>
  <c r="L245" i="1" a="1"/>
  <c r="L245" i="1" s="1"/>
  <c r="K378" i="1"/>
  <c r="K40" i="1"/>
  <c r="K256" i="1"/>
  <c r="K51" i="1"/>
  <c r="K113" i="1"/>
  <c r="K329" i="1"/>
  <c r="K401" i="1"/>
  <c r="K473" i="1"/>
  <c r="K6" i="1"/>
  <c r="L102" i="1" a="1"/>
  <c r="L102" i="1" s="1"/>
  <c r="K174" i="1"/>
  <c r="K318" i="1"/>
  <c r="K390" i="1"/>
  <c r="K5" i="1"/>
  <c r="K257" i="1"/>
  <c r="K124" i="1"/>
  <c r="K196" i="1"/>
  <c r="K268" i="1"/>
  <c r="K340" i="1"/>
  <c r="K412" i="1"/>
  <c r="K484" i="1"/>
  <c r="K27" i="1"/>
  <c r="K436" i="1"/>
  <c r="K387" i="1"/>
  <c r="K411" i="1"/>
  <c r="K461" i="1"/>
  <c r="K328" i="1"/>
  <c r="K185" i="1"/>
  <c r="L203" i="1" a="1"/>
  <c r="L203" i="1" s="1"/>
  <c r="K63" i="1"/>
  <c r="K147" i="1"/>
  <c r="L219" i="1" a="1"/>
  <c r="L219" i="1" s="1"/>
  <c r="L291" i="1" a="1"/>
  <c r="L291" i="1" s="1"/>
  <c r="K435" i="1"/>
  <c r="L53" i="1" a="1"/>
  <c r="L53" i="1" s="1"/>
  <c r="K125" i="1"/>
  <c r="K197" i="1"/>
  <c r="L269" i="1" a="1"/>
  <c r="L269" i="1" s="1"/>
  <c r="K341" i="1"/>
  <c r="K413" i="1"/>
  <c r="K485" i="1"/>
  <c r="L42" i="1" a="1"/>
  <c r="L42" i="1" s="1"/>
  <c r="L114" i="1" a="1"/>
  <c r="L114" i="1" s="1"/>
  <c r="K186" i="1"/>
  <c r="K258" i="1"/>
  <c r="K402" i="1"/>
  <c r="K4" i="1"/>
  <c r="K364" i="1"/>
  <c r="K87" i="1"/>
  <c r="K315" i="1"/>
  <c r="K149" i="1"/>
  <c r="K365" i="1"/>
  <c r="K138" i="1"/>
  <c r="K354" i="1"/>
  <c r="K16" i="1"/>
  <c r="K232" i="1"/>
  <c r="K173" i="1"/>
  <c r="K162" i="1"/>
  <c r="L306" i="1" a="1"/>
  <c r="L306" i="1" s="1"/>
  <c r="K112" i="1"/>
  <c r="K400" i="1"/>
  <c r="L400" i="1" a="1"/>
  <c r="L400" i="1" s="1"/>
  <c r="K102" i="1"/>
  <c r="L135" i="1" a="1"/>
  <c r="L135" i="1" s="1"/>
  <c r="L423" i="1" a="1"/>
  <c r="L423" i="1" s="1"/>
  <c r="L305" i="1" a="1"/>
  <c r="L305" i="1" s="1"/>
  <c r="L246" i="1" a="1"/>
  <c r="L246" i="1" s="1"/>
  <c r="K203" i="1"/>
  <c r="K64" i="1"/>
  <c r="K136" i="1"/>
  <c r="K280" i="1"/>
  <c r="K352" i="1"/>
  <c r="K99" i="1"/>
  <c r="K148" i="1"/>
  <c r="K171" i="1"/>
  <c r="K293" i="1"/>
  <c r="K210" i="1"/>
  <c r="K376" i="1"/>
  <c r="K29" i="1"/>
  <c r="K101" i="1"/>
  <c r="K317" i="1"/>
  <c r="K389" i="1"/>
  <c r="K90" i="1"/>
  <c r="K234" i="1"/>
  <c r="K184" i="1"/>
  <c r="K472" i="1"/>
  <c r="L256" i="1" a="1"/>
  <c r="L256" i="1" s="1"/>
  <c r="L41" i="1" a="1"/>
  <c r="L41" i="1" s="1"/>
  <c r="K75" i="1"/>
  <c r="K159" i="1"/>
  <c r="K231" i="1"/>
  <c r="K303" i="1"/>
  <c r="K375" i="1"/>
  <c r="K447" i="1"/>
  <c r="L65" i="1" a="1"/>
  <c r="L65" i="1" s="1"/>
  <c r="K137" i="1"/>
  <c r="K209" i="1"/>
  <c r="K281" i="1"/>
  <c r="L353" i="1" a="1"/>
  <c r="L353" i="1" s="1"/>
  <c r="K425" i="1"/>
  <c r="K497" i="1"/>
  <c r="L54" i="1" a="1"/>
  <c r="L54" i="1" s="1"/>
  <c r="K126" i="1"/>
  <c r="K198" i="1"/>
  <c r="K270" i="1"/>
  <c r="L342" i="1" a="1"/>
  <c r="L342" i="1" s="1"/>
  <c r="K414" i="1"/>
  <c r="K114" i="1"/>
  <c r="L258" i="1" a="1"/>
  <c r="L258" i="1" s="1"/>
  <c r="L435" i="1" a="1"/>
  <c r="L435" i="1" s="1"/>
  <c r="L186" i="1" a="1"/>
  <c r="L186" i="1" s="1"/>
  <c r="L197" i="1" a="1"/>
  <c r="L197" i="1" s="1"/>
  <c r="L413" i="1" a="1"/>
  <c r="L413" i="1" s="1"/>
  <c r="L402" i="1" a="1"/>
  <c r="L402" i="1" s="1"/>
  <c r="K219" i="1"/>
  <c r="L99" i="1" a="1"/>
  <c r="L99" i="1" s="1"/>
  <c r="K291" i="1"/>
  <c r="K269" i="1"/>
  <c r="L3" i="1" a="1"/>
  <c r="L3" i="1" s="1"/>
  <c r="L147" i="1" a="1"/>
  <c r="L147" i="1" s="1"/>
  <c r="L437" i="1" a="1"/>
  <c r="L437" i="1" s="1"/>
  <c r="K245" i="1"/>
  <c r="L354" i="1" a="1"/>
  <c r="L354" i="1" s="1"/>
  <c r="L376" i="1" a="1"/>
  <c r="L376" i="1" s="1"/>
  <c r="L293" i="1" a="1"/>
  <c r="L293" i="1" s="1"/>
  <c r="L341" i="1" a="1"/>
  <c r="L341" i="1" s="1"/>
  <c r="L399" i="1" a="1"/>
  <c r="L399" i="1" s="1"/>
  <c r="L484" i="1" a="1"/>
  <c r="L484" i="1" s="1"/>
  <c r="L340" i="1" a="1"/>
  <c r="L340" i="1" s="1"/>
  <c r="L389" i="1" a="1"/>
  <c r="L389" i="1" s="1"/>
  <c r="K183" i="1"/>
  <c r="L111" i="1" a="1"/>
  <c r="L111" i="1" s="1"/>
  <c r="L327" i="1" a="1"/>
  <c r="L327" i="1" s="1"/>
  <c r="L78" i="1" a="1"/>
  <c r="L78" i="1" s="1"/>
  <c r="L195" i="1" a="1"/>
  <c r="L195" i="1" s="1"/>
  <c r="L461" i="1" a="1"/>
  <c r="L461" i="1" s="1"/>
  <c r="L185" i="1" a="1"/>
  <c r="L185" i="1" s="1"/>
  <c r="L412" i="1" a="1"/>
  <c r="L412" i="1" s="1"/>
  <c r="L329" i="1" a="1"/>
  <c r="L329" i="1" s="1"/>
  <c r="K222" i="1"/>
  <c r="L411" i="1" a="1"/>
  <c r="L411" i="1" s="1"/>
  <c r="L15" i="1" a="1"/>
  <c r="L15" i="1" s="1"/>
  <c r="L29" i="1" a="1"/>
  <c r="L29" i="1" s="1"/>
  <c r="L27" i="1" a="1"/>
  <c r="L27" i="1" s="1"/>
  <c r="L39" i="1" a="1"/>
  <c r="L39" i="1" s="1"/>
  <c r="L123" i="1" a="1"/>
  <c r="L123" i="1" s="1"/>
  <c r="L339" i="1" a="1"/>
  <c r="L339" i="1" s="1"/>
  <c r="L366" i="1" a="1"/>
  <c r="L366" i="1" s="1"/>
  <c r="L162" i="1" a="1"/>
  <c r="L162" i="1" s="1"/>
  <c r="L232" i="1" a="1"/>
  <c r="L232" i="1" s="1"/>
  <c r="L161" i="1" a="1"/>
  <c r="L161" i="1" s="1"/>
  <c r="L255" i="1" a="1"/>
  <c r="L255" i="1" s="1"/>
  <c r="L471" i="1" a="1"/>
  <c r="L471" i="1" s="1"/>
  <c r="L173" i="1" a="1"/>
  <c r="L173" i="1" s="1"/>
  <c r="L244" i="1" a="1"/>
  <c r="L244" i="1" s="1"/>
  <c r="L124" i="1" a="1"/>
  <c r="L124" i="1" s="1"/>
  <c r="L220" i="1" a="1"/>
  <c r="L220" i="1" s="1"/>
  <c r="L270" i="1" a="1"/>
  <c r="L270" i="1" s="1"/>
  <c r="L388" i="1" a="1"/>
  <c r="L388" i="1" s="1"/>
  <c r="L198" i="1" a="1"/>
  <c r="L198" i="1" s="1"/>
  <c r="K66" i="1"/>
  <c r="L414" i="1" a="1"/>
  <c r="L414" i="1" s="1"/>
  <c r="K88" i="1"/>
  <c r="L88" i="1" a="1"/>
  <c r="L88" i="1" s="1"/>
  <c r="K304" i="1"/>
  <c r="L304" i="1" a="1"/>
  <c r="L304" i="1" s="1"/>
  <c r="L281" i="1" a="1"/>
  <c r="L281" i="1" s="1"/>
  <c r="L282" i="1" a="1"/>
  <c r="L282" i="1" s="1"/>
  <c r="L448" i="1" a="1"/>
  <c r="L448" i="1" s="1"/>
  <c r="L364" i="1" a="1"/>
  <c r="L364" i="1" s="1"/>
  <c r="L365" i="1" a="1"/>
  <c r="L365" i="1" s="1"/>
  <c r="L16" i="1" a="1"/>
  <c r="L16" i="1" s="1"/>
  <c r="K353" i="1"/>
  <c r="L159" i="1" a="1"/>
  <c r="L159" i="1" s="1"/>
  <c r="L375" i="1" a="1"/>
  <c r="L375" i="1" s="1"/>
  <c r="L101" i="1" a="1"/>
  <c r="L101" i="1" s="1"/>
  <c r="K294" i="1"/>
  <c r="L449" i="1" a="1"/>
  <c r="L449" i="1" s="1"/>
  <c r="L174" i="1" a="1"/>
  <c r="L174" i="1" s="1"/>
  <c r="K377" i="1"/>
  <c r="L90" i="1" a="1"/>
  <c r="L90" i="1" s="1"/>
  <c r="L210" i="1" a="1"/>
  <c r="L210" i="1" s="1"/>
  <c r="L318" i="1" a="1"/>
  <c r="L318" i="1" s="1"/>
  <c r="K77" i="1"/>
  <c r="L460" i="1" a="1"/>
  <c r="L460" i="1" s="1"/>
  <c r="L209" i="1" a="1"/>
  <c r="L209" i="1" s="1"/>
  <c r="L100" i="1" a="1"/>
  <c r="L100" i="1" s="1"/>
  <c r="L150" i="1" a="1"/>
  <c r="L150" i="1" s="1"/>
  <c r="K52" i="1"/>
  <c r="L52" i="1" a="1"/>
  <c r="L52" i="1" s="1"/>
  <c r="K65" i="1"/>
  <c r="L138" i="1" a="1"/>
  <c r="L138" i="1" s="1"/>
  <c r="L426" i="1" a="1"/>
  <c r="L426" i="1" s="1"/>
  <c r="K28" i="1"/>
  <c r="L28" i="1" a="1"/>
  <c r="L28" i="1" s="1"/>
  <c r="L75" i="1" a="1"/>
  <c r="L75" i="1" s="1"/>
  <c r="L89" i="1" a="1"/>
  <c r="L89" i="1" s="1"/>
  <c r="K54" i="1"/>
  <c r="L234" i="1" a="1"/>
  <c r="L234" i="1" s="1"/>
  <c r="L436" i="1" a="1"/>
  <c r="L436" i="1" s="1"/>
  <c r="L231" i="1" a="1"/>
  <c r="L231" i="1" s="1"/>
  <c r="L447" i="1" a="1"/>
  <c r="L447" i="1" s="1"/>
  <c r="L6" i="1" a="1"/>
  <c r="L6" i="1" s="1"/>
  <c r="L171" i="1" a="1"/>
  <c r="L171" i="1" s="1"/>
  <c r="L243" i="1" a="1"/>
  <c r="L243" i="1" s="1"/>
  <c r="L315" i="1" a="1"/>
  <c r="L315" i="1" s="1"/>
  <c r="L387" i="1" a="1"/>
  <c r="L387" i="1" s="1"/>
  <c r="L459" i="1" a="1"/>
  <c r="L459" i="1" s="1"/>
  <c r="L113" i="1" a="1"/>
  <c r="L113" i="1" s="1"/>
  <c r="L233" i="1" a="1"/>
  <c r="L233" i="1" s="1"/>
  <c r="L425" i="1" a="1"/>
  <c r="L425" i="1" s="1"/>
  <c r="L137" i="1" a="1"/>
  <c r="L137" i="1" s="1"/>
  <c r="L473" i="1" a="1"/>
  <c r="L473" i="1" s="1"/>
  <c r="L172" i="1" a="1"/>
  <c r="L172" i="1" s="1"/>
  <c r="K330" i="1"/>
  <c r="L330" i="1" a="1"/>
  <c r="L330" i="1" s="1"/>
  <c r="L126" i="1" a="1"/>
  <c r="L126" i="1" s="1"/>
  <c r="L292" i="1" a="1"/>
  <c r="L292" i="1" s="1"/>
  <c r="L438" i="1" a="1"/>
  <c r="L438" i="1" s="1"/>
  <c r="L87" i="1" a="1"/>
  <c r="L87" i="1" s="1"/>
  <c r="L17" i="1" a="1"/>
  <c r="L17" i="1" s="1"/>
  <c r="L4" i="1" a="1"/>
  <c r="L4" i="1" s="1"/>
  <c r="L303" i="1" a="1"/>
  <c r="L303" i="1" s="1"/>
  <c r="L221" i="1" a="1"/>
  <c r="L221" i="1" s="1"/>
  <c r="L40" i="1" a="1"/>
  <c r="L40" i="1" s="1"/>
  <c r="L472" i="1" a="1"/>
  <c r="L472" i="1" s="1"/>
  <c r="L76" i="1" a="1"/>
  <c r="L76" i="1" s="1"/>
  <c r="L112" i="1" a="1"/>
  <c r="L112" i="1" s="1"/>
  <c r="L401" i="1" a="1"/>
  <c r="L401" i="1" s="1"/>
  <c r="L160" i="1" a="1"/>
  <c r="L160" i="1" s="1"/>
  <c r="L196" i="1" a="1"/>
  <c r="L196" i="1" s="1"/>
  <c r="L316" i="1" a="1"/>
  <c r="L316" i="1" s="1"/>
  <c r="L268" i="1" a="1"/>
  <c r="L268" i="1" s="1"/>
  <c r="K208" i="1"/>
  <c r="L208" i="1" a="1"/>
  <c r="L208" i="1" s="1"/>
  <c r="K424" i="1"/>
  <c r="L424" i="1" a="1"/>
  <c r="L424" i="1" s="1"/>
  <c r="K496" i="1"/>
  <c r="L496" i="1" a="1"/>
  <c r="L49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<sst xmlns="http://schemas.openxmlformats.org/spreadsheetml/2006/main" count="665" uniqueCount="546">
  <si>
    <t>Student ID</t>
  </si>
  <si>
    <t>Class</t>
  </si>
  <si>
    <t>Subject</t>
  </si>
  <si>
    <t>Marks Obtained</t>
  </si>
  <si>
    <t>Max Marks</t>
  </si>
  <si>
    <t>Attendance %</t>
  </si>
  <si>
    <t>Test Prep Course</t>
  </si>
  <si>
    <t>Tuition Status</t>
  </si>
  <si>
    <t>Internet Access</t>
  </si>
  <si>
    <t>Resource Need Level</t>
  </si>
  <si>
    <t>STU-001</t>
  </si>
  <si>
    <t>10-A</t>
  </si>
  <si>
    <t>Math</t>
  </si>
  <si>
    <t>None</t>
  </si>
  <si>
    <t>No</t>
  </si>
  <si>
    <t>Yes</t>
  </si>
  <si>
    <t>High</t>
  </si>
  <si>
    <t>STU-002</t>
  </si>
  <si>
    <t>STU-003</t>
  </si>
  <si>
    <t>Completed</t>
  </si>
  <si>
    <t>Low</t>
  </si>
  <si>
    <t>STU-004</t>
  </si>
  <si>
    <t>Medium</t>
  </si>
  <si>
    <t>STU-005</t>
  </si>
  <si>
    <t>STU-006</t>
  </si>
  <si>
    <t>STU-007</t>
  </si>
  <si>
    <t>STU-008</t>
  </si>
  <si>
    <t>10-B</t>
  </si>
  <si>
    <t>STU-009</t>
  </si>
  <si>
    <t>STU-010</t>
  </si>
  <si>
    <t>STU-011</t>
  </si>
  <si>
    <t>Science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</si>
  <si>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</si>
  <si>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</si>
  <si>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</si>
  <si>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</si>
  <si>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</si>
  <si>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</si>
  <si>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</si>
  <si>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</si>
  <si>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</si>
  <si>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</si>
  <si>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English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</si>
  <si>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</si>
  <si>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</si>
  <si>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</si>
  <si>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</si>
  <si>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</si>
  <si>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</si>
  <si>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</si>
  <si>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</si>
  <si>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</si>
  <si>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Status</t>
  </si>
  <si>
    <t>Row Labels</t>
  </si>
  <si>
    <t>Grand Total</t>
  </si>
  <si>
    <t>Fail</t>
  </si>
  <si>
    <t>Column Labels</t>
  </si>
  <si>
    <t>Count of Status</t>
  </si>
  <si>
    <t>Average of Marks Obtained</t>
  </si>
  <si>
    <t>STU-031</t>
  </si>
  <si>
    <t>STU-032</t>
  </si>
  <si>
    <t>Pass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</si>
  <si>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</si>
  <si>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</si>
  <si>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</si>
  <si>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</si>
  <si>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</si>
  <si>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</si>
  <si>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</si>
  <si>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</si>
  <si>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STU-041</t>
  </si>
  <si>
    <t>STU-042</t>
  </si>
  <si>
    <t>STU-043</t>
  </si>
  <si>
    <t>STU-044</t>
  </si>
  <si>
    <t>STU-045</t>
  </si>
  <si>
    <t>STU-046</t>
  </si>
  <si>
    <t>STU-047</t>
  </si>
  <si>
    <t>STU-048</t>
  </si>
  <si>
    <t>STU-049</t>
  </si>
  <si>
    <t>STU-050</t>
  </si>
  <si>
    <t>Grade</t>
  </si>
  <si>
    <t>A</t>
  </si>
  <si>
    <t>B</t>
  </si>
  <si>
    <t>C</t>
  </si>
  <si>
    <t>Attendance Category</t>
  </si>
  <si>
    <t>Total Average of Marks Obtained</t>
  </si>
  <si>
    <t>Total Count of Status</t>
  </si>
  <si>
    <t>Grand Average</t>
  </si>
  <si>
    <t>D</t>
  </si>
  <si>
    <t>Count of Student ID</t>
  </si>
  <si>
    <t>Pivot Table 1: Subject Performance (Questions 1, 2, 8)</t>
  </si>
  <si>
    <t>Pivot Table 2: The Topper (Question 3)</t>
  </si>
  <si>
    <t>Pivot Table 3: Grade Distribution (Question 6)</t>
  </si>
  <si>
    <t>Pivot Table 4: Attendance vs Marks (Question 4, 7)</t>
  </si>
  <si>
    <t>STU-051</t>
  </si>
  <si>
    <t>STU-052</t>
  </si>
  <si>
    <t>STU-053</t>
  </si>
  <si>
    <t>STU-054</t>
  </si>
  <si>
    <t>STU-055</t>
  </si>
  <si>
    <t>STU-056</t>
  </si>
  <si>
    <t>STU-057</t>
  </si>
  <si>
    <t>STU-058</t>
  </si>
  <si>
    <t>STU-059</t>
  </si>
  <si>
    <t>STU-060</t>
  </si>
  <si>
    <t>STU-061</t>
  </si>
  <si>
    <t>STU-062</t>
  </si>
  <si>
    <t>STU-063</t>
  </si>
  <si>
    <t>STU-064</t>
  </si>
  <si>
    <t>STU-065</t>
  </si>
  <si>
    <t>STU-066</t>
  </si>
  <si>
    <t>STU-067</t>
  </si>
  <si>
    <t>STU-068</t>
  </si>
  <si>
    <t>STU-069</t>
  </si>
  <si>
    <t>STU-070</t>
  </si>
  <si>
    <t>STU-071</t>
  </si>
  <si>
    <t>STU-072</t>
  </si>
  <si>
    <t>STU-073</t>
  </si>
  <si>
    <t>STU-074</t>
  </si>
  <si>
    <t>STU-075</t>
  </si>
  <si>
    <t>STU-076</t>
  </si>
  <si>
    <t>STU-077</t>
  </si>
  <si>
    <t>STU-078</t>
  </si>
  <si>
    <t>STU-079</t>
  </si>
  <si>
    <t>STU-080</t>
  </si>
  <si>
    <t>STU-081</t>
  </si>
  <si>
    <t>STU-082</t>
  </si>
  <si>
    <t>STU-083</t>
  </si>
  <si>
    <t>STU-084</t>
  </si>
  <si>
    <t>STU-085</t>
  </si>
  <si>
    <t>STU-086</t>
  </si>
  <si>
    <t>STU-087</t>
  </si>
  <si>
    <t>STU-088</t>
  </si>
  <si>
    <t>STU-089</t>
  </si>
  <si>
    <t>STU-090</t>
  </si>
  <si>
    <t>STU-091</t>
  </si>
  <si>
    <t>STU-092</t>
  </si>
  <si>
    <t>STU-093</t>
  </si>
  <si>
    <t>STU-094</t>
  </si>
  <si>
    <t>STU-095</t>
  </si>
  <si>
    <t>STU-096</t>
  </si>
  <si>
    <t>STU-097</t>
  </si>
  <si>
    <t>STU-098</t>
  </si>
  <si>
    <t>STU-099</t>
  </si>
  <si>
    <t>STU-100</t>
  </si>
  <si>
    <t>STU-101</t>
  </si>
  <si>
    <t>STU-102</t>
  </si>
  <si>
    <t>STU-103</t>
  </si>
  <si>
    <t>STU-104</t>
  </si>
  <si>
    <t>STU-105</t>
  </si>
  <si>
    <t>STU-106</t>
  </si>
  <si>
    <t>STU-107</t>
  </si>
  <si>
    <t>STU-108</t>
  </si>
  <si>
    <t>STU-109</t>
  </si>
  <si>
    <t>STU-110</t>
  </si>
  <si>
    <t>STU-111</t>
  </si>
  <si>
    <t>STU-112</t>
  </si>
  <si>
    <t>STU-113</t>
  </si>
  <si>
    <t>STU-114</t>
  </si>
  <si>
    <t>STU-115</t>
  </si>
  <si>
    <t>STU-116</t>
  </si>
  <si>
    <t>STU-117</t>
  </si>
  <si>
    <t>STU-118</t>
  </si>
  <si>
    <t>STU-119</t>
  </si>
  <si>
    <t>STU-120</t>
  </si>
  <si>
    <t>STU-121</t>
  </si>
  <si>
    <t>STU-122</t>
  </si>
  <si>
    <t>STU-123</t>
  </si>
  <si>
    <t>STU-124</t>
  </si>
  <si>
    <t>STU-125</t>
  </si>
  <si>
    <t>STU-126</t>
  </si>
  <si>
    <t>STU-127</t>
  </si>
  <si>
    <t>STU-128</t>
  </si>
  <si>
    <t>STU-129</t>
  </si>
  <si>
    <t>STU-130</t>
  </si>
  <si>
    <t>STU-131</t>
  </si>
  <si>
    <t>STU-132</t>
  </si>
  <si>
    <t>STU-133</t>
  </si>
  <si>
    <t>STU-134</t>
  </si>
  <si>
    <t>STU-135</t>
  </si>
  <si>
    <t>STU-136</t>
  </si>
  <si>
    <t>STU-137</t>
  </si>
  <si>
    <t>STU-138</t>
  </si>
  <si>
    <t>STU-139</t>
  </si>
  <si>
    <t>STU-140</t>
  </si>
  <si>
    <t>STU-141</t>
  </si>
  <si>
    <t>STU-142</t>
  </si>
  <si>
    <t>STU-143</t>
  </si>
  <si>
    <t>STU-144</t>
  </si>
  <si>
    <t>STU-145</t>
  </si>
  <si>
    <t>STU-146</t>
  </si>
  <si>
    <t>STU-147</t>
  </si>
  <si>
    <t>STU-148</t>
  </si>
  <si>
    <t>STU-149</t>
  </si>
  <si>
    <t>STU-150</t>
  </si>
  <si>
    <t>STU-151</t>
  </si>
  <si>
    <t>STU-152</t>
  </si>
  <si>
    <t>STU-153</t>
  </si>
  <si>
    <t>STU-154</t>
  </si>
  <si>
    <t>STU-155</t>
  </si>
  <si>
    <t>STU-156</t>
  </si>
  <si>
    <t>STU-157</t>
  </si>
  <si>
    <t>STU-158</t>
  </si>
  <si>
    <t>STU-159</t>
  </si>
  <si>
    <t>STU-160</t>
  </si>
  <si>
    <t>STU-161</t>
  </si>
  <si>
    <t>STU-162</t>
  </si>
  <si>
    <t>STU-163</t>
  </si>
  <si>
    <t>STU-164</t>
  </si>
  <si>
    <t>STU-165</t>
  </si>
  <si>
    <t>STU-166</t>
  </si>
  <si>
    <t>STU-167</t>
  </si>
  <si>
    <t>STU-168</t>
  </si>
  <si>
    <t>STU-169</t>
  </si>
  <si>
    <t>STU-170</t>
  </si>
  <si>
    <t>STU-171</t>
  </si>
  <si>
    <t>STU-172</t>
  </si>
  <si>
    <t>STU-173</t>
  </si>
  <si>
    <t>STU-174</t>
  </si>
  <si>
    <t>STU-175</t>
  </si>
  <si>
    <t>STU-176</t>
  </si>
  <si>
    <t>STU-177</t>
  </si>
  <si>
    <t>STU-178</t>
  </si>
  <si>
    <t>STU-179</t>
  </si>
  <si>
    <t>STU-180</t>
  </si>
  <si>
    <t>STU-181</t>
  </si>
  <si>
    <t>STU-182</t>
  </si>
  <si>
    <t>STU-183</t>
  </si>
  <si>
    <t>STU-184</t>
  </si>
  <si>
    <t>STU-185</t>
  </si>
  <si>
    <t>STU-186</t>
  </si>
  <si>
    <t>STU-187</t>
  </si>
  <si>
    <t>STU-188</t>
  </si>
  <si>
    <t>STU-189</t>
  </si>
  <si>
    <t>STU-190</t>
  </si>
  <si>
    <t>STU-191</t>
  </si>
  <si>
    <t>STU-192</t>
  </si>
  <si>
    <t>STU-193</t>
  </si>
  <si>
    <t>STU-194</t>
  </si>
  <si>
    <t>STU-195</t>
  </si>
  <si>
    <t>STU-196</t>
  </si>
  <si>
    <t>STU-197</t>
  </si>
  <si>
    <t>STU-198</t>
  </si>
  <si>
    <t>STU-199</t>
  </si>
  <si>
    <t>STU-200</t>
  </si>
  <si>
    <t>STU-201</t>
  </si>
  <si>
    <t>STU-202</t>
  </si>
  <si>
    <t>STU-203</t>
  </si>
  <si>
    <t>STU-204</t>
  </si>
  <si>
    <t>STU-205</t>
  </si>
  <si>
    <t>STU-206</t>
  </si>
  <si>
    <t>STU-207</t>
  </si>
  <si>
    <t>STU-208</t>
  </si>
  <si>
    <t>STU-209</t>
  </si>
  <si>
    <t>STU-210</t>
  </si>
  <si>
    <t>STU-211</t>
  </si>
  <si>
    <t>STU-212</t>
  </si>
  <si>
    <t>STU-213</t>
  </si>
  <si>
    <t>STU-214</t>
  </si>
  <si>
    <t>STU-215</t>
  </si>
  <si>
    <t>STU-216</t>
  </si>
  <si>
    <t>STU-217</t>
  </si>
  <si>
    <t>STU-218</t>
  </si>
  <si>
    <t>STU-219</t>
  </si>
  <si>
    <t>STU-220</t>
  </si>
  <si>
    <t>STU-221</t>
  </si>
  <si>
    <t>STU-222</t>
  </si>
  <si>
    <t>STU-223</t>
  </si>
  <si>
    <t>STU-224</t>
  </si>
  <si>
    <t>STU-225</t>
  </si>
  <si>
    <t>STU-226</t>
  </si>
  <si>
    <t>STU-227</t>
  </si>
  <si>
    <t>STU-228</t>
  </si>
  <si>
    <t>STU-229</t>
  </si>
  <si>
    <t>STU-230</t>
  </si>
  <si>
    <t>STU-231</t>
  </si>
  <si>
    <t>STU-232</t>
  </si>
  <si>
    <t>STU-233</t>
  </si>
  <si>
    <t>STU-234</t>
  </si>
  <si>
    <t>STU-235</t>
  </si>
  <si>
    <t>STU-236</t>
  </si>
  <si>
    <t>STU-237</t>
  </si>
  <si>
    <t>STU-238</t>
  </si>
  <si>
    <t>STU-239</t>
  </si>
  <si>
    <t>STU-240</t>
  </si>
  <si>
    <t>STU-241</t>
  </si>
  <si>
    <t>STU-242</t>
  </si>
  <si>
    <t>STU-243</t>
  </si>
  <si>
    <t>STU-244</t>
  </si>
  <si>
    <t>STU-245</t>
  </si>
  <si>
    <t>STU-246</t>
  </si>
  <si>
    <t>STU-247</t>
  </si>
  <si>
    <t>STU-248</t>
  </si>
  <si>
    <t>STU-249</t>
  </si>
  <si>
    <t>STU-250</t>
  </si>
  <si>
    <t>STU-251</t>
  </si>
  <si>
    <t>STU-252</t>
  </si>
  <si>
    <t>STU-253</t>
  </si>
  <si>
    <t>STU-254</t>
  </si>
  <si>
    <t>STU-255</t>
  </si>
  <si>
    <t>STU-256</t>
  </si>
  <si>
    <t>STU-257</t>
  </si>
  <si>
    <t>STU-258</t>
  </si>
  <si>
    <t>STU-259</t>
  </si>
  <si>
    <t>STU-260</t>
  </si>
  <si>
    <t>STU-261</t>
  </si>
  <si>
    <t>STU-262</t>
  </si>
  <si>
    <t>STU-263</t>
  </si>
  <si>
    <t>STU-264</t>
  </si>
  <si>
    <t>STU-265</t>
  </si>
  <si>
    <t>STU-266</t>
  </si>
  <si>
    <t>STU-267</t>
  </si>
  <si>
    <t>STU-268</t>
  </si>
  <si>
    <t>STU-269</t>
  </si>
  <si>
    <t>STU-270</t>
  </si>
  <si>
    <t>STU-271</t>
  </si>
  <si>
    <t>STU-272</t>
  </si>
  <si>
    <t>STU-273</t>
  </si>
  <si>
    <t>STU-274</t>
  </si>
  <si>
    <t>STU-275</t>
  </si>
  <si>
    <t>STU-276</t>
  </si>
  <si>
    <t>STU-277</t>
  </si>
  <si>
    <t>STU-278</t>
  </si>
  <si>
    <t>STU-279</t>
  </si>
  <si>
    <t>STU-280</t>
  </si>
  <si>
    <t>STU-281</t>
  </si>
  <si>
    <t>STU-282</t>
  </si>
  <si>
    <t>STU-283</t>
  </si>
  <si>
    <t>STU-284</t>
  </si>
  <si>
    <t>STU-285</t>
  </si>
  <si>
    <t>STU-286</t>
  </si>
  <si>
    <t>STU-287</t>
  </si>
  <si>
    <t>STU-288</t>
  </si>
  <si>
    <t>STU-289</t>
  </si>
  <si>
    <t>STU-290</t>
  </si>
  <si>
    <t>STU-291</t>
  </si>
  <si>
    <t>STU-292</t>
  </si>
  <si>
    <t>STU-293</t>
  </si>
  <si>
    <t>STU-294</t>
  </si>
  <si>
    <t>STU-295</t>
  </si>
  <si>
    <t>STU-296</t>
  </si>
  <si>
    <t>STU-297</t>
  </si>
  <si>
    <t>STU-298</t>
  </si>
  <si>
    <t>STU-299</t>
  </si>
  <si>
    <t>STU-300</t>
  </si>
  <si>
    <t>STU-301</t>
  </si>
  <si>
    <t>STU-302</t>
  </si>
  <si>
    <t>STU-303</t>
  </si>
  <si>
    <t>STU-304</t>
  </si>
  <si>
    <t>STU-305</t>
  </si>
  <si>
    <t>STU-306</t>
  </si>
  <si>
    <t>STU-307</t>
  </si>
  <si>
    <t>STU-308</t>
  </si>
  <si>
    <t>STU-309</t>
  </si>
  <si>
    <t>STU-310</t>
  </si>
  <si>
    <t>STU-311</t>
  </si>
  <si>
    <t>STU-312</t>
  </si>
  <si>
    <t>STU-313</t>
  </si>
  <si>
    <t>STU-314</t>
  </si>
  <si>
    <t>STU-315</t>
  </si>
  <si>
    <t>STU-316</t>
  </si>
  <si>
    <t>STU-317</t>
  </si>
  <si>
    <t>STU-318</t>
  </si>
  <si>
    <t>STU-319</t>
  </si>
  <si>
    <t>STU-320</t>
  </si>
  <si>
    <t>STU-321</t>
  </si>
  <si>
    <t>STU-322</t>
  </si>
  <si>
    <t>STU-323</t>
  </si>
  <si>
    <t>STU-324</t>
  </si>
  <si>
    <t>STU-325</t>
  </si>
  <si>
    <t>STU-326</t>
  </si>
  <si>
    <t>STU-327</t>
  </si>
  <si>
    <t>STU-328</t>
  </si>
  <si>
    <t>STU-329</t>
  </si>
  <si>
    <t>STU-330</t>
  </si>
  <si>
    <t>STU-331</t>
  </si>
  <si>
    <t>STU-332</t>
  </si>
  <si>
    <t>STU-333</t>
  </si>
  <si>
    <t>STU-334</t>
  </si>
  <si>
    <t>STU-335</t>
  </si>
  <si>
    <t>STU-336</t>
  </si>
  <si>
    <t>STU-337</t>
  </si>
  <si>
    <t>STU-338</t>
  </si>
  <si>
    <t>STU-339</t>
  </si>
  <si>
    <t>STU-340</t>
  </si>
  <si>
    <t>STU-341</t>
  </si>
  <si>
    <t>STU-342</t>
  </si>
  <si>
    <t>STU-343</t>
  </si>
  <si>
    <t>STU-344</t>
  </si>
  <si>
    <t>STU-345</t>
  </si>
  <si>
    <t>STU-346</t>
  </si>
  <si>
    <t>STU-347</t>
  </si>
  <si>
    <t>STU-348</t>
  </si>
  <si>
    <t>STU-349</t>
  </si>
  <si>
    <t>STU-350</t>
  </si>
  <si>
    <t>STU-351</t>
  </si>
  <si>
    <t>STU-352</t>
  </si>
  <si>
    <t>STU-353</t>
  </si>
  <si>
    <t>STU-354</t>
  </si>
  <si>
    <t>STU-355</t>
  </si>
  <si>
    <t>STU-356</t>
  </si>
  <si>
    <t>STU-357</t>
  </si>
  <si>
    <t>STU-358</t>
  </si>
  <si>
    <t>STU-359</t>
  </si>
  <si>
    <t>STU-360</t>
  </si>
  <si>
    <t>STU-361</t>
  </si>
  <si>
    <t>STU-362</t>
  </si>
  <si>
    <t>STU-363</t>
  </si>
  <si>
    <t>STU-364</t>
  </si>
  <si>
    <t>STU-365</t>
  </si>
  <si>
    <t>STU-366</t>
  </si>
  <si>
    <t>STU-367</t>
  </si>
  <si>
    <t>STU-368</t>
  </si>
  <si>
    <t>STU-369</t>
  </si>
  <si>
    <t>STU-370</t>
  </si>
  <si>
    <t>STU-371</t>
  </si>
  <si>
    <t>STU-372</t>
  </si>
  <si>
    <t>STU-373</t>
  </si>
  <si>
    <t>STU-374</t>
  </si>
  <si>
    <t>STU-375</t>
  </si>
  <si>
    <t>STU-376</t>
  </si>
  <si>
    <t>STU-377</t>
  </si>
  <si>
    <t>STU-378</t>
  </si>
  <si>
    <t>STU-379</t>
  </si>
  <si>
    <t>STU-380</t>
  </si>
  <si>
    <t>STU-381</t>
  </si>
  <si>
    <t>STU-382</t>
  </si>
  <si>
    <t>STU-383</t>
  </si>
  <si>
    <t>STU-384</t>
  </si>
  <si>
    <t>STU-385</t>
  </si>
  <si>
    <t>STU-386</t>
  </si>
  <si>
    <t>STU-387</t>
  </si>
  <si>
    <t>STU-388</t>
  </si>
  <si>
    <t>STU-389</t>
  </si>
  <si>
    <t>STU-390</t>
  </si>
  <si>
    <t>STU-391</t>
  </si>
  <si>
    <t>STU-392</t>
  </si>
  <si>
    <t>STU-393</t>
  </si>
  <si>
    <t>STU-394</t>
  </si>
  <si>
    <t>STU-395</t>
  </si>
  <si>
    <t>STU-396</t>
  </si>
  <si>
    <t>STU-397</t>
  </si>
  <si>
    <t>STU-398</t>
  </si>
  <si>
    <t>STU-399</t>
  </si>
  <si>
    <t>STU-400</t>
  </si>
  <si>
    <t>STU-401</t>
  </si>
  <si>
    <t>STU-402</t>
  </si>
  <si>
    <t>STU-403</t>
  </si>
  <si>
    <t>STU-404</t>
  </si>
  <si>
    <t>STU-405</t>
  </si>
  <si>
    <t>STU-406</t>
  </si>
  <si>
    <t>STU-407</t>
  </si>
  <si>
    <t>STU-408</t>
  </si>
  <si>
    <t>STU-409</t>
  </si>
  <si>
    <t>STU-410</t>
  </si>
  <si>
    <t>STU-411</t>
  </si>
  <si>
    <t>STU-412</t>
  </si>
  <si>
    <t>STU-413</t>
  </si>
  <si>
    <t>STU-414</t>
  </si>
  <si>
    <t>STU-415</t>
  </si>
  <si>
    <t>STU-416</t>
  </si>
  <si>
    <t>STU-417</t>
  </si>
  <si>
    <t>STU-418</t>
  </si>
  <si>
    <t>STU-419</t>
  </si>
  <si>
    <t>STU-420</t>
  </si>
  <si>
    <t>STU-421</t>
  </si>
  <si>
    <t>STU-422</t>
  </si>
  <si>
    <t>STU-423</t>
  </si>
  <si>
    <t>STU-424</t>
  </si>
  <si>
    <t>STU-425</t>
  </si>
  <si>
    <t>STU-426</t>
  </si>
  <si>
    <t>STU-427</t>
  </si>
  <si>
    <t>STU-428</t>
  </si>
  <si>
    <t>STU-429</t>
  </si>
  <si>
    <t>STU-430</t>
  </si>
  <si>
    <t>STU-431</t>
  </si>
  <si>
    <t>STU-432</t>
  </si>
  <si>
    <t>STU-433</t>
  </si>
  <si>
    <t>STU-434</t>
  </si>
  <si>
    <t>STU-435</t>
  </si>
  <si>
    <t>STU-436</t>
  </si>
  <si>
    <t>STU-437</t>
  </si>
  <si>
    <t>STU-438</t>
  </si>
  <si>
    <t>STU-439</t>
  </si>
  <si>
    <t>STU-440</t>
  </si>
  <si>
    <t>STU-441</t>
  </si>
  <si>
    <t>STU-442</t>
  </si>
  <si>
    <t>STU-443</t>
  </si>
  <si>
    <t>STU-444</t>
  </si>
  <si>
    <t>STU-445</t>
  </si>
  <si>
    <t>STU-446</t>
  </si>
  <si>
    <t>STU-447</t>
  </si>
  <si>
    <t>STU-448</t>
  </si>
  <si>
    <t>STU-449</t>
  </si>
  <si>
    <t>STU-450</t>
  </si>
  <si>
    <t>STU-451</t>
  </si>
  <si>
    <t>STU-452</t>
  </si>
  <si>
    <t>STU-453</t>
  </si>
  <si>
    <t>STU-454</t>
  </si>
  <si>
    <t>STU-455</t>
  </si>
  <si>
    <t>STU-456</t>
  </si>
  <si>
    <t>STU-457</t>
  </si>
  <si>
    <t>STU-458</t>
  </si>
  <si>
    <t>STU-459</t>
  </si>
  <si>
    <t>STU-460</t>
  </si>
  <si>
    <t>STU-461</t>
  </si>
  <si>
    <t>STU-462</t>
  </si>
  <si>
    <t>STU-463</t>
  </si>
  <si>
    <t>STU-464</t>
  </si>
  <si>
    <t>STU-465</t>
  </si>
  <si>
    <t>STU-466</t>
  </si>
  <si>
    <t>STU-467</t>
  </si>
  <si>
    <t>STU-468</t>
  </si>
  <si>
    <t>STU-469</t>
  </si>
  <si>
    <t>STU-470</t>
  </si>
  <si>
    <t>STU-471</t>
  </si>
  <si>
    <t>STU-472</t>
  </si>
  <si>
    <t>STU-473</t>
  </si>
  <si>
    <t>STU-474</t>
  </si>
  <si>
    <t>STU-475</t>
  </si>
  <si>
    <t>STU-476</t>
  </si>
  <si>
    <t>STU-477</t>
  </si>
  <si>
    <t>STU-478</t>
  </si>
  <si>
    <t>STU-479</t>
  </si>
  <si>
    <t>STU-480</t>
  </si>
  <si>
    <t>STU-481</t>
  </si>
  <si>
    <t>STU-482</t>
  </si>
  <si>
    <t>STU-483</t>
  </si>
  <si>
    <t>STU-484</t>
  </si>
  <si>
    <t>STU-485</t>
  </si>
  <si>
    <t>STU-486</t>
  </si>
  <si>
    <t>STU-487</t>
  </si>
  <si>
    <t>STU-488</t>
  </si>
  <si>
    <t>STU-489</t>
  </si>
  <si>
    <t>STU-490</t>
  </si>
  <si>
    <t>STU-491</t>
  </si>
  <si>
    <t>STU-492</t>
  </si>
  <si>
    <t>STU-493</t>
  </si>
  <si>
    <t>STU-494</t>
  </si>
  <si>
    <t>STU-495</t>
  </si>
  <si>
    <t>STU-496</t>
  </si>
  <si>
    <t>STU-497</t>
  </si>
  <si>
    <t>STU-498</t>
  </si>
  <si>
    <t>STU-499</t>
  </si>
  <si>
    <t>STU-500</t>
  </si>
  <si>
    <t>Details for Average of Marks Obtained - Student ID: STU-001</t>
  </si>
  <si>
    <t>Details for Average of Marks Obtained - Student ID: STU-030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</si>
</sst>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[Academic Resource Optimization Dashboard.xlsx]Sheet4!PivotTable3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7-48AC-80E8-CDA4CF67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125599"/>
        <c:axId val="1636118399"/>
      </c:barChart>
      <c:catAx>
        <c:axId val="16361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18399"/>
        <c:crosses val="autoZero"/>
        <c:auto val="1"/>
        <c:lblAlgn val="ctr"/>
        <c:lblOffset val="100"/>
        <c:noMultiLvlLbl val="0"/>
      </c:catAx>
      <c:valAx>
        <c:axId val="16361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2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[Academic Resource Optimization Dashboard.xlsx]Sheet5!PivotTable4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05358705161857"/>
          <c:y val="0.16564596092155148"/>
          <c:w val="0.46197419072615925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0">
                  <c:v>61.141176470588213</c:v>
                </c:pt>
                <c:pt idx="1">
                  <c:v>63.171212121212122</c:v>
                </c:pt>
                <c:pt idx="2">
                  <c:v>62.147959183673485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F-407C-9547-560087F746B7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English</c:v>
                </c:pt>
                <c:pt idx="1">
                  <c:v>Math</c:v>
                </c:pt>
                <c:pt idx="2">
                  <c:v>Science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63.931914893617005</c:v>
                </c:pt>
                <c:pt idx="1">
                  <c:v>62.407777777777788</c:v>
                </c:pt>
                <c:pt idx="2">
                  <c:v>64.222388059701458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F-407C-9547-560087F74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8706399"/>
        <c:axId val="578708319"/>
      </c:barChart>
      <c:catAx>
        <c:axId val="57870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08319"/>
        <c:crosses val="autoZero"/>
        <c:auto val="1"/>
        <c:lblAlgn val="ctr"/>
        <c:lblOffset val="100"/>
        <c:noMultiLvlLbl val="0"/>
      </c:catAx>
      <c:valAx>
        <c:axId val="57870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0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12</xdr:row>
      <xdr:rowOff>7620</xdr:rowOff>
    </xdr:from>
    <xdr:to>
      <xdr:col>7</xdr:col>
      <xdr:colOff>472440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E683F-5931-461A-8B39-5A964863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198120</xdr:colOff>
      <xdr:row>12</xdr:row>
      <xdr:rowOff>0</xdr:rowOff>
    </xdr:from>
    <xdr:to>
      <xdr:col>15</xdr:col>
      <xdr:colOff>502920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448FB-A585-45B7-A49A-5527657C9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541020</xdr:colOff>
      <xdr:row>0</xdr:row>
      <xdr:rowOff>144780</xdr:rowOff>
    </xdr:from>
    <xdr:ext cx="6742936" cy="468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47654A-E34F-640B-498B-D6E2F1AF903F}"/>
            </a:ext>
          </a:extLst>
        </xdr:cNvPr>
        <xdr:cNvSpPr txBox="1"/>
      </xdr:nvSpPr>
      <xdr:spPr>
        <a:xfrm>
          <a:off x="2369820" y="144780"/>
          <a:ext cx="674293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400" b="1"/>
            <a:t>ACADEMIC RESOURCE OPTIMIZATION DASHBOARD</a:t>
          </a:r>
        </a:p>
      </xdr:txBody>
    </xdr:sp>
    <xdr:clientData/>
  </xdr:oneCellAnchor>
  <xdr:oneCellAnchor>
    <xdr:from>
      <xdr:col>2</xdr:col>
      <xdr:colOff>175260</xdr:colOff>
      <xdr:row>3</xdr:row>
      <xdr:rowOff>83820</xdr:rowOff>
    </xdr:from>
    <xdr:ext cx="8001000" cy="15953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594DD4-55E9-0319-6D51-B2F5B8ECB472}"/>
            </a:ext>
          </a:extLst>
        </xdr:cNvPr>
        <xdr:cNvSpPr txBox="1"/>
      </xdr:nvSpPr>
      <xdr:spPr>
        <a:xfrm>
          <a:off x="1394460" y="632460"/>
          <a:ext cx="8001000" cy="1595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EXECUTIVE SUMMARY:</a:t>
          </a:r>
          <a:endParaRPr lang="en-IN" sz="1200"/>
        </a:p>
        <a:p>
          <a:r>
            <a:rPr lang="en-IN" sz="1200" b="1"/>
            <a:t>1. Critical Issue:</a:t>
          </a:r>
          <a:r>
            <a:rPr lang="en-IN" sz="1200"/>
            <a:t> Mathematics accounts for </a:t>
          </a:r>
          <a:r>
            <a:rPr lang="en-IN" sz="1200" b="1"/>
            <a:t>60%</a:t>
          </a:r>
          <a:r>
            <a:rPr lang="en-IN" sz="1200"/>
            <a:t> of all academic failures (3 students), making it the primary area for intervention.</a:t>
          </a:r>
        </a:p>
        <a:p>
          <a:r>
            <a:rPr lang="en-IN" sz="1200" b="1"/>
            <a:t>2. Root Cause:</a:t>
          </a:r>
          <a:r>
            <a:rPr lang="en-IN" sz="1200"/>
            <a:t> Analysis shows a clear resource gap. Students without Test Prep average </a:t>
          </a:r>
          <a:r>
            <a:rPr lang="en-IN" sz="1200" b="1"/>
            <a:t>55%</a:t>
          </a:r>
          <a:r>
            <a:rPr lang="en-IN" sz="1200"/>
            <a:t>, while those with Prep average </a:t>
          </a:r>
          <a:r>
            <a:rPr lang="en-IN" sz="1200" b="1"/>
            <a:t>81%</a:t>
          </a:r>
          <a:r>
            <a:rPr lang="en-IN" sz="1200"/>
            <a:t>.</a:t>
          </a:r>
        </a:p>
        <a:p>
          <a:r>
            <a:rPr lang="en-IN" sz="1200" b="1"/>
            <a:t>3. Recommendation:</a:t>
          </a:r>
          <a:r>
            <a:rPr lang="en-IN" sz="1200"/>
            <a:t> Reallocate </a:t>
          </a:r>
          <a:r>
            <a:rPr lang="en-IN" sz="1200" b="1"/>
            <a:t>$4,000</a:t>
          </a:r>
          <a:r>
            <a:rPr lang="en-IN" sz="1200"/>
            <a:t> of the remedial budget to subsidize Test Prep courses for "At-Risk" Math students immediately.</a:t>
          </a:r>
        </a:p>
        <a:p>
          <a:endParaRPr lang="en-IN" sz="12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8C7EB9-CAB5-9296-1572-2E9500C9B1B1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0.72833</cdr:x>
      <cdr:y>0.66111</cdr:y>
    </cdr:from>
    <cdr:to>
      <cdr:x>0.92833</cdr:x>
      <cdr:y>0.99444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5D3F7ED-99C2-03A4-46A6-D7989EEF2C42}"/>
            </a:ext>
          </a:extLst>
        </cdr:cNvPr>
        <cdr:cNvSpPr txBox="1"/>
      </cdr:nvSpPr>
      <cdr:spPr>
        <a:xfrm xmlns:a="http://schemas.openxmlformats.org/drawingml/2006/main">
          <a:off x="3329940" y="18135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" refreshedDate="46078.95060462963" createdVersion="8" refreshedVersion="8" minRefreshableVersion="3" recordCount="500" xr:uid="{B46086F3-388C-446B-995B-225BEED1416B}">
  <cacheSource type="worksheet">
    <worksheetSource ref="A1:M501" sheet="Sheet1"/>
  </cacheSource>
  <cacheFields count="13">
    <cacheField name="Student ID" numFmtId="0">
      <sharedItems count="500">
        <s v="STU-001"/>
        <s v="STU-002"/>
        <s v="STU-003"/>
        <s v="STU-004"/>
        <s v="STU-005"/>
        <s v="STU-006"/>
        <s v="STU-007"/>
        <s v="STU-008"/>
        <s v="STU-009"/>
        <s v="STU-010"/>
        <s v="STU-011"/>
        <s v="STU-012"/>
        <s v="STU-013"/>
        <s v="STU-014"/>
        <s v="STU-015"/>
        <s v="STU-016"/>
        <s v="STU-017"/>
        <s v="STU-018"/>
        <s v="STU-019"/>
        <s v="STU-020"/>
        <s v="STU-021"/>
        <s v="STU-022"/>
        <s v="STU-023"/>
        <s v="STU-024"/>
        <s v="STU-025"/>
        <s v="STU-026"/>
        <s v="STU-027"/>
        <s v="STU-028"/>
        <s v="STU-029"/>
        <s v="STU-030"/>
        <s v="STU-031"/>
        <s v="STU-032"/>
        <s v="STU-033"/>
        <s v="STU-034"/>
        <s v="STU-035"/>
        <s v="STU-036"/>
        <s v="STU-037"/>
        <s v="STU-038"/>
        <s v="STU-039"/>
        <s v="STU-040"/>
        <s v="STU-041"/>
        <s v="STU-042"/>
        <s v="STU-043"/>
        <s v="STU-044"/>
        <s v="STU-045"/>
        <s v="STU-046"/>
        <s v="STU-047"/>
        <s v="STU-048"/>
        <s v="STU-049"/>
        <s v="STU-050"/>
        <s v="STU-051"/>
        <s v="STU-052"/>
        <s v="STU-053"/>
        <s v="STU-054"/>
        <s v="STU-055"/>
        <s v="STU-056"/>
        <s v="STU-057"/>
        <s v="STU-058"/>
        <s v="STU-059"/>
        <s v="STU-060"/>
        <s v="STU-061"/>
        <s v="STU-062"/>
        <s v="STU-063"/>
        <s v="STU-064"/>
        <s v="STU-065"/>
        <s v="STU-066"/>
        <s v="STU-067"/>
        <s v="STU-068"/>
        <s v="STU-069"/>
        <s v="STU-070"/>
        <s v="STU-071"/>
        <s v="STU-072"/>
        <s v="STU-073"/>
        <s v="STU-074"/>
        <s v="STU-075"/>
        <s v="STU-076"/>
        <s v="STU-077"/>
        <s v="STU-078"/>
        <s v="STU-079"/>
        <s v="STU-080"/>
        <s v="STU-081"/>
        <s v="STU-082"/>
        <s v="STU-083"/>
        <s v="STU-084"/>
        <s v="STU-085"/>
        <s v="STU-086"/>
        <s v="STU-087"/>
        <s v="STU-088"/>
        <s v="STU-089"/>
        <s v="STU-090"/>
        <s v="STU-091"/>
        <s v="STU-092"/>
        <s v="STU-093"/>
        <s v="STU-094"/>
        <s v="STU-095"/>
        <s v="STU-096"/>
        <s v="STU-097"/>
        <s v="STU-098"/>
        <s v="STU-099"/>
        <s v="STU-100"/>
        <s v="STU-101"/>
        <s v="STU-102"/>
        <s v="STU-103"/>
        <s v="STU-104"/>
        <s v="STU-105"/>
        <s v="STU-106"/>
        <s v="STU-107"/>
        <s v="STU-108"/>
        <s v="STU-109"/>
        <s v="STU-110"/>
        <s v="STU-111"/>
        <s v="STU-112"/>
        <s v="STU-113"/>
        <s v="STU-114"/>
        <s v="STU-115"/>
        <s v="STU-116"/>
        <s v="STU-117"/>
        <s v="STU-118"/>
        <s v="STU-119"/>
        <s v="STU-120"/>
        <s v="STU-121"/>
        <s v="STU-122"/>
        <s v="STU-123"/>
        <s v="STU-124"/>
        <s v="STU-125"/>
        <s v="STU-126"/>
        <s v="STU-127"/>
        <s v="STU-128"/>
        <s v="STU-129"/>
        <s v="STU-130"/>
        <s v="STU-131"/>
        <s v="STU-132"/>
        <s v="STU-133"/>
        <s v="STU-134"/>
        <s v="STU-135"/>
        <s v="STU-136"/>
        <s v="STU-137"/>
        <s v="STU-138"/>
        <s v="STU-139"/>
        <s v="STU-140"/>
        <s v="STU-141"/>
        <s v="STU-142"/>
        <s v="STU-143"/>
        <s v="STU-144"/>
        <s v="STU-145"/>
        <s v="STU-146"/>
        <s v="STU-147"/>
        <s v="STU-148"/>
        <s v="STU-149"/>
        <s v="STU-150"/>
        <s v="STU-151"/>
        <s v="STU-152"/>
        <s v="STU-153"/>
        <s v="STU-154"/>
        <s v="STU-155"/>
        <s v="STU-156"/>
        <s v="STU-157"/>
        <s v="STU-158"/>
        <s v="STU-159"/>
        <s v="STU-160"/>
        <s v="STU-161"/>
        <s v="STU-162"/>
        <s v="STU-163"/>
        <s v="STU-164"/>
        <s v="STU-165"/>
        <s v="STU-166"/>
        <s v="STU-167"/>
        <s v="STU-168"/>
        <s v="STU-169"/>
        <s v="STU-170"/>
        <s v="STU-171"/>
        <s v="STU-172"/>
        <s v="STU-173"/>
        <s v="STU-174"/>
        <s v="STU-175"/>
        <s v="STU-176"/>
        <s v="STU-177"/>
        <s v="STU-178"/>
        <s v="STU-179"/>
        <s v="STU-180"/>
        <s v="STU-181"/>
        <s v="STU-182"/>
        <s v="STU-183"/>
        <s v="STU-184"/>
        <s v="STU-185"/>
        <s v="STU-186"/>
        <s v="STU-187"/>
        <s v="STU-188"/>
        <s v="STU-189"/>
        <s v="STU-190"/>
        <s v="STU-191"/>
        <s v="STU-192"/>
        <s v="STU-193"/>
        <s v="STU-194"/>
        <s v="STU-195"/>
        <s v="STU-196"/>
        <s v="STU-197"/>
        <s v="STU-198"/>
        <s v="STU-199"/>
        <s v="STU-200"/>
        <s v="STU-201"/>
        <s v="STU-202"/>
        <s v="STU-203"/>
        <s v="STU-204"/>
        <s v="STU-205"/>
        <s v="STU-206"/>
        <s v="STU-207"/>
        <s v="STU-208"/>
        <s v="STU-209"/>
        <s v="STU-210"/>
        <s v="STU-211"/>
        <s v="STU-212"/>
        <s v="STU-213"/>
        <s v="STU-214"/>
        <s v="STU-215"/>
        <s v="STU-216"/>
        <s v="STU-217"/>
        <s v="STU-218"/>
        <s v="STU-219"/>
        <s v="STU-220"/>
        <s v="STU-221"/>
        <s v="STU-222"/>
        <s v="STU-223"/>
        <s v="STU-224"/>
        <s v="STU-225"/>
        <s v="STU-226"/>
        <s v="STU-227"/>
        <s v="STU-228"/>
        <s v="STU-229"/>
        <s v="STU-230"/>
        <s v="STU-231"/>
        <s v="STU-232"/>
        <s v="STU-233"/>
        <s v="STU-234"/>
        <s v="STU-235"/>
        <s v="STU-236"/>
        <s v="STU-237"/>
        <s v="STU-238"/>
        <s v="STU-239"/>
        <s v="STU-240"/>
        <s v="STU-241"/>
        <s v="STU-242"/>
        <s v="STU-243"/>
        <s v="STU-244"/>
        <s v="STU-245"/>
        <s v="STU-246"/>
        <s v="STU-247"/>
        <s v="STU-248"/>
        <s v="STU-249"/>
        <s v="STU-250"/>
        <s v="STU-251"/>
        <s v="STU-252"/>
        <s v="STU-253"/>
        <s v="STU-254"/>
        <s v="STU-255"/>
        <s v="STU-256"/>
        <s v="STU-257"/>
        <s v="STU-258"/>
        <s v="STU-259"/>
        <s v="STU-260"/>
        <s v="STU-261"/>
        <s v="STU-262"/>
        <s v="STU-263"/>
        <s v="STU-264"/>
        <s v="STU-265"/>
        <s v="STU-266"/>
        <s v="STU-267"/>
        <s v="STU-268"/>
        <s v="STU-269"/>
        <s v="STU-270"/>
        <s v="STU-271"/>
        <s v="STU-272"/>
        <s v="STU-273"/>
        <s v="STU-274"/>
        <s v="STU-275"/>
        <s v="STU-276"/>
        <s v="STU-277"/>
        <s v="STU-278"/>
        <s v="STU-279"/>
        <s v="STU-280"/>
        <s v="STU-281"/>
        <s v="STU-282"/>
        <s v="STU-283"/>
        <s v="STU-284"/>
        <s v="STU-285"/>
        <s v="STU-286"/>
        <s v="STU-287"/>
        <s v="STU-288"/>
        <s v="STU-289"/>
        <s v="STU-290"/>
        <s v="STU-291"/>
        <s v="STU-292"/>
        <s v="STU-293"/>
        <s v="STU-294"/>
        <s v="STU-295"/>
        <s v="STU-296"/>
        <s v="STU-297"/>
        <s v="STU-298"/>
        <s v="STU-299"/>
        <s v="STU-300"/>
        <s v="STU-301"/>
        <s v="STU-302"/>
        <s v="STU-303"/>
        <s v="STU-304"/>
        <s v="STU-305"/>
        <s v="STU-306"/>
        <s v="STU-307"/>
        <s v="STU-308"/>
        <s v="STU-309"/>
        <s v="STU-310"/>
        <s v="STU-311"/>
        <s v="STU-312"/>
        <s v="STU-313"/>
        <s v="STU-314"/>
        <s v="STU-315"/>
        <s v="STU-316"/>
        <s v="STU-317"/>
        <s v="STU-318"/>
        <s v="STU-319"/>
        <s v="STU-320"/>
        <s v="STU-321"/>
        <s v="STU-322"/>
        <s v="STU-323"/>
        <s v="STU-324"/>
        <s v="STU-325"/>
        <s v="STU-326"/>
        <s v="STU-327"/>
        <s v="STU-328"/>
        <s v="STU-329"/>
        <s v="STU-330"/>
        <s v="STU-331"/>
        <s v="STU-332"/>
        <s v="STU-333"/>
        <s v="STU-334"/>
        <s v="STU-335"/>
        <s v="STU-336"/>
        <s v="STU-337"/>
        <s v="STU-338"/>
        <s v="STU-339"/>
        <s v="STU-340"/>
        <s v="STU-341"/>
        <s v="STU-342"/>
        <s v="STU-343"/>
        <s v="STU-344"/>
        <s v="STU-345"/>
        <s v="STU-346"/>
        <s v="STU-347"/>
        <s v="STU-348"/>
        <s v="STU-349"/>
        <s v="STU-350"/>
        <s v="STU-351"/>
        <s v="STU-352"/>
        <s v="STU-353"/>
        <s v="STU-354"/>
        <s v="STU-355"/>
        <s v="STU-356"/>
        <s v="STU-357"/>
        <s v="STU-358"/>
        <s v="STU-359"/>
        <s v="STU-360"/>
        <s v="STU-361"/>
        <s v="STU-362"/>
        <s v="STU-363"/>
        <s v="STU-364"/>
        <s v="STU-365"/>
        <s v="STU-366"/>
        <s v="STU-367"/>
        <s v="STU-368"/>
        <s v="STU-369"/>
        <s v="STU-370"/>
        <s v="STU-371"/>
        <s v="STU-372"/>
        <s v="STU-373"/>
        <s v="STU-374"/>
        <s v="STU-375"/>
        <s v="STU-376"/>
        <s v="STU-377"/>
        <s v="STU-378"/>
        <s v="STU-379"/>
        <s v="STU-380"/>
        <s v="STU-381"/>
        <s v="STU-382"/>
        <s v="STU-383"/>
        <s v="STU-384"/>
        <s v="STU-385"/>
        <s v="STU-386"/>
        <s v="STU-387"/>
        <s v="STU-388"/>
        <s v="STU-389"/>
        <s v="STU-390"/>
        <s v="STU-391"/>
        <s v="STU-392"/>
        <s v="STU-393"/>
        <s v="STU-394"/>
        <s v="STU-395"/>
        <s v="STU-396"/>
        <s v="STU-397"/>
        <s v="STU-398"/>
        <s v="STU-399"/>
        <s v="STU-400"/>
        <s v="STU-401"/>
        <s v="STU-402"/>
        <s v="STU-403"/>
        <s v="STU-404"/>
        <s v="STU-405"/>
        <s v="STU-406"/>
        <s v="STU-407"/>
        <s v="STU-408"/>
        <s v="STU-409"/>
        <s v="STU-410"/>
        <s v="STU-411"/>
        <s v="STU-412"/>
        <s v="STU-413"/>
        <s v="STU-414"/>
        <s v="STU-415"/>
        <s v="STU-416"/>
        <s v="STU-417"/>
        <s v="STU-418"/>
        <s v="STU-419"/>
        <s v="STU-420"/>
        <s v="STU-421"/>
        <s v="STU-422"/>
        <s v="STU-423"/>
        <s v="STU-424"/>
        <s v="STU-425"/>
        <s v="STU-426"/>
        <s v="STU-427"/>
        <s v="STU-428"/>
        <s v="STU-429"/>
        <s v="STU-430"/>
        <s v="STU-431"/>
        <s v="STU-432"/>
        <s v="STU-433"/>
        <s v="STU-434"/>
        <s v="STU-435"/>
        <s v="STU-436"/>
        <s v="STU-437"/>
        <s v="STU-438"/>
        <s v="STU-439"/>
        <s v="STU-440"/>
        <s v="STU-441"/>
        <s v="STU-442"/>
        <s v="STU-443"/>
        <s v="STU-444"/>
        <s v="STU-445"/>
        <s v="STU-446"/>
        <s v="STU-447"/>
        <s v="STU-448"/>
        <s v="STU-449"/>
        <s v="STU-450"/>
        <s v="STU-451"/>
        <s v="STU-452"/>
        <s v="STU-453"/>
        <s v="STU-454"/>
        <s v="STU-455"/>
        <s v="STU-456"/>
        <s v="STU-457"/>
        <s v="STU-458"/>
        <s v="STU-459"/>
        <s v="STU-460"/>
        <s v="STU-461"/>
        <s v="STU-462"/>
        <s v="STU-463"/>
        <s v="STU-464"/>
        <s v="STU-465"/>
        <s v="STU-466"/>
        <s v="STU-467"/>
        <s v="STU-468"/>
        <s v="STU-469"/>
        <s v="STU-470"/>
        <s v="STU-471"/>
        <s v="STU-472"/>
        <s v="STU-473"/>
        <s v="STU-474"/>
        <s v="STU-475"/>
        <s v="STU-476"/>
        <s v="STU-477"/>
        <s v="STU-478"/>
        <s v="STU-479"/>
        <s v="STU-480"/>
        <s v="STU-481"/>
        <s v="STU-482"/>
        <s v="STU-483"/>
        <s v="STU-484"/>
        <s v="STU-485"/>
        <s v="STU-486"/>
        <s v="STU-487"/>
        <s v="STU-488"/>
        <s v="STU-489"/>
        <s v="STU-490"/>
        <s v="STU-491"/>
        <s v="STU-492"/>
        <s v="STU-493"/>
        <s v="STU-494"/>
        <s v="STU-495"/>
        <s v="STU-496"/>
        <s v="STU-497"/>
        <s v="STU-498"/>
        <s v="STU-499"/>
        <s v="STU-500"/>
      </sharedItems>
    </cacheField>
    <cacheField name="Class" numFmtId="0">
      <sharedItems/>
    </cacheField>
    <cacheField name="Subject" numFmtId="0">
      <sharedItems count="3">
        <s v="English"/>
        <s v="Science"/>
        <s v="Math"/>
      </sharedItems>
    </cacheField>
    <cacheField name="Marks Obtained" numFmtId="0">
      <sharedItems containsSemiMixedTypes="0" containsString="0" containsNumber="1" minValue="35.200000000000003" maxValue="90"/>
    </cacheField>
    <cacheField name="Max Marks" numFmtId="0">
      <sharedItems containsSemiMixedTypes="0" containsString="0" containsNumber="1" containsInteger="1" minValue="100" maxValue="100"/>
    </cacheField>
    <cacheField name="Attendance %" numFmtId="0">
      <sharedItems containsSemiMixedTypes="0" containsString="0" containsNumber="1" containsInteger="1" minValue="40" maxValue="100"/>
    </cacheField>
    <cacheField name="Test Prep Course" numFmtId="0">
      <sharedItems count="2">
        <s v="None"/>
        <s v="Completed"/>
      </sharedItems>
    </cacheField>
    <cacheField name="Tuition Status" numFmtId="0">
      <sharedItems/>
    </cacheField>
    <cacheField name="Internet Access" numFmtId="0">
      <sharedItems/>
    </cacheField>
    <cacheField name="Resource Need Level" numFmtId="0">
      <sharedItems/>
    </cacheField>
    <cacheField name="Status" numFmtId="0">
      <sharedItems count="2">
        <s v="Pass"/>
        <s v="Fail"/>
      </sharedItems>
    </cacheField>
    <cacheField name="Grade" numFmtId="0">
      <sharedItems count="4">
        <s v="C"/>
        <s v="B"/>
        <s v="A"/>
        <s v="D"/>
      </sharedItems>
    </cacheField>
    <cacheField name="Attendance Category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10-C"/>
    <x v="0"/>
    <n v="61.8"/>
    <n v="100"/>
    <n v="88"/>
    <x v="0"/>
    <s v="Yes"/>
    <s v="Yes"/>
    <s v="Low"/>
    <x v="0"/>
    <x v="0"/>
    <x v="0"/>
  </r>
  <r>
    <x v="1"/>
    <s v="10-B"/>
    <x v="0"/>
    <n v="63.8"/>
    <n v="100"/>
    <n v="58"/>
    <x v="1"/>
    <s v="Yes"/>
    <s v="Yes"/>
    <s v="Low"/>
    <x v="0"/>
    <x v="0"/>
    <x v="1"/>
  </r>
  <r>
    <x v="2"/>
    <s v="10-C"/>
    <x v="1"/>
    <n v="69.2"/>
    <n v="100"/>
    <n v="62"/>
    <x v="1"/>
    <s v="Yes"/>
    <s v="No"/>
    <s v="High"/>
    <x v="0"/>
    <x v="0"/>
    <x v="1"/>
  </r>
  <r>
    <x v="3"/>
    <s v="10-B"/>
    <x v="0"/>
    <n v="54.9"/>
    <n v="100"/>
    <n v="69"/>
    <x v="0"/>
    <s v="No"/>
    <s v="Yes"/>
    <s v="Low"/>
    <x v="0"/>
    <x v="0"/>
    <x v="1"/>
  </r>
  <r>
    <x v="4"/>
    <s v="10-A"/>
    <x v="1"/>
    <n v="61.4"/>
    <n v="100"/>
    <n v="44"/>
    <x v="1"/>
    <s v="Yes"/>
    <s v="Yes"/>
    <s v="Low"/>
    <x v="0"/>
    <x v="0"/>
    <x v="1"/>
  </r>
  <r>
    <x v="5"/>
    <s v="10-A"/>
    <x v="2"/>
    <n v="67.8"/>
    <n v="100"/>
    <n v="98"/>
    <x v="0"/>
    <s v="Yes"/>
    <s v="Yes"/>
    <s v="Low"/>
    <x v="0"/>
    <x v="0"/>
    <x v="0"/>
  </r>
  <r>
    <x v="6"/>
    <s v="10-A"/>
    <x v="2"/>
    <n v="79.2"/>
    <n v="100"/>
    <n v="52"/>
    <x v="0"/>
    <s v="Yes"/>
    <s v="No"/>
    <s v="High"/>
    <x v="0"/>
    <x v="1"/>
    <x v="1"/>
  </r>
  <r>
    <x v="7"/>
    <s v="10-B"/>
    <x v="2"/>
    <n v="85.5"/>
    <n v="100"/>
    <n v="75"/>
    <x v="0"/>
    <s v="No"/>
    <s v="Yes"/>
    <s v="Low"/>
    <x v="0"/>
    <x v="2"/>
    <x v="2"/>
  </r>
  <r>
    <x v="8"/>
    <s v="10-C"/>
    <x v="0"/>
    <n v="43.2"/>
    <n v="100"/>
    <n v="92"/>
    <x v="0"/>
    <s v="Yes"/>
    <s v="No"/>
    <s v="Critical"/>
    <x v="0"/>
    <x v="3"/>
    <x v="0"/>
  </r>
  <r>
    <x v="9"/>
    <s v="10-C"/>
    <x v="0"/>
    <n v="85"/>
    <n v="100"/>
    <n v="70"/>
    <x v="0"/>
    <s v="Yes"/>
    <s v="Yes"/>
    <s v="Low"/>
    <x v="0"/>
    <x v="2"/>
    <x v="1"/>
  </r>
  <r>
    <x v="10"/>
    <s v="10-A"/>
    <x v="0"/>
    <n v="75"/>
    <n v="100"/>
    <n v="90"/>
    <x v="0"/>
    <s v="No"/>
    <s v="No"/>
    <s v="High"/>
    <x v="0"/>
    <x v="1"/>
    <x v="0"/>
  </r>
  <r>
    <x v="11"/>
    <s v="10-A"/>
    <x v="0"/>
    <n v="85.5"/>
    <n v="100"/>
    <n v="65"/>
    <x v="0"/>
    <s v="Yes"/>
    <s v="Yes"/>
    <s v="Low"/>
    <x v="0"/>
    <x v="2"/>
    <x v="1"/>
  </r>
  <r>
    <x v="12"/>
    <s v="10-C"/>
    <x v="1"/>
    <n v="66.900000000000006"/>
    <n v="100"/>
    <n v="59"/>
    <x v="1"/>
    <s v="No"/>
    <s v="No"/>
    <s v="High"/>
    <x v="0"/>
    <x v="0"/>
    <x v="1"/>
  </r>
  <r>
    <x v="13"/>
    <s v="10-A"/>
    <x v="2"/>
    <n v="60.2"/>
    <n v="100"/>
    <n v="52"/>
    <x v="0"/>
    <s v="Yes"/>
    <s v="Yes"/>
    <s v="Low"/>
    <x v="0"/>
    <x v="0"/>
    <x v="1"/>
  </r>
  <r>
    <x v="14"/>
    <s v="10-A"/>
    <x v="0"/>
    <n v="61.9"/>
    <n v="100"/>
    <n v="69"/>
    <x v="1"/>
    <s v="No"/>
    <s v="Yes"/>
    <s v="Low"/>
    <x v="0"/>
    <x v="0"/>
    <x v="1"/>
  </r>
  <r>
    <x v="15"/>
    <s v="10-B"/>
    <x v="0"/>
    <n v="49.6"/>
    <n v="100"/>
    <n v="56"/>
    <x v="1"/>
    <s v="Yes"/>
    <s v="Yes"/>
    <s v="Medium"/>
    <x v="0"/>
    <x v="3"/>
    <x v="1"/>
  </r>
  <r>
    <x v="16"/>
    <s v="10-C"/>
    <x v="1"/>
    <n v="78.099999999999994"/>
    <n v="100"/>
    <n v="91"/>
    <x v="1"/>
    <s v="Yes"/>
    <s v="Yes"/>
    <s v="Low"/>
    <x v="0"/>
    <x v="1"/>
    <x v="0"/>
  </r>
  <r>
    <x v="17"/>
    <s v="10-B"/>
    <x v="0"/>
    <n v="73.400000000000006"/>
    <n v="100"/>
    <n v="44"/>
    <x v="1"/>
    <s v="Yes"/>
    <s v="Yes"/>
    <s v="Low"/>
    <x v="0"/>
    <x v="1"/>
    <x v="1"/>
  </r>
  <r>
    <x v="18"/>
    <s v="10-A"/>
    <x v="1"/>
    <n v="59.6"/>
    <n v="100"/>
    <n v="56"/>
    <x v="0"/>
    <s v="No"/>
    <s v="No"/>
    <s v="High"/>
    <x v="0"/>
    <x v="0"/>
    <x v="1"/>
  </r>
  <r>
    <x v="19"/>
    <s v="10-B"/>
    <x v="2"/>
    <n v="41.5"/>
    <n v="100"/>
    <n v="55"/>
    <x v="1"/>
    <s v="Yes"/>
    <s v="Yes"/>
    <s v="Medium"/>
    <x v="0"/>
    <x v="3"/>
    <x v="1"/>
  </r>
  <r>
    <x v="20"/>
    <s v="10-A"/>
    <x v="0"/>
    <n v="37.6"/>
    <n v="100"/>
    <n v="66"/>
    <x v="0"/>
    <s v="Yes"/>
    <s v="No"/>
    <s v="Critical"/>
    <x v="1"/>
    <x v="3"/>
    <x v="1"/>
  </r>
  <r>
    <x v="21"/>
    <s v="10-A"/>
    <x v="2"/>
    <n v="40.299999999999997"/>
    <n v="100"/>
    <n v="63"/>
    <x v="0"/>
    <s v="Yes"/>
    <s v="Yes"/>
    <s v="Medium"/>
    <x v="0"/>
    <x v="3"/>
    <x v="1"/>
  </r>
  <r>
    <x v="22"/>
    <s v="10-C"/>
    <x v="0"/>
    <n v="56"/>
    <n v="100"/>
    <n v="90"/>
    <x v="1"/>
    <s v="Yes"/>
    <s v="Yes"/>
    <s v="Low"/>
    <x v="0"/>
    <x v="0"/>
    <x v="0"/>
  </r>
  <r>
    <x v="23"/>
    <s v="10-C"/>
    <x v="1"/>
    <n v="50.2"/>
    <n v="100"/>
    <n v="82"/>
    <x v="0"/>
    <s v="Yes"/>
    <s v="No"/>
    <s v="High"/>
    <x v="0"/>
    <x v="0"/>
    <x v="2"/>
  </r>
  <r>
    <x v="24"/>
    <s v="10-B"/>
    <x v="1"/>
    <n v="57.4"/>
    <n v="100"/>
    <n v="64"/>
    <x v="1"/>
    <s v="Yes"/>
    <s v="No"/>
    <s v="High"/>
    <x v="0"/>
    <x v="0"/>
    <x v="1"/>
  </r>
  <r>
    <x v="25"/>
    <s v="10-B"/>
    <x v="0"/>
    <n v="80.3"/>
    <n v="100"/>
    <n v="93"/>
    <x v="1"/>
    <s v="Yes"/>
    <s v="Yes"/>
    <s v="Low"/>
    <x v="0"/>
    <x v="1"/>
    <x v="0"/>
  </r>
  <r>
    <x v="26"/>
    <s v="10-B"/>
    <x v="2"/>
    <n v="74.400000000000006"/>
    <n v="100"/>
    <n v="84"/>
    <x v="0"/>
    <s v="Yes"/>
    <s v="Yes"/>
    <s v="Low"/>
    <x v="0"/>
    <x v="1"/>
    <x v="2"/>
  </r>
  <r>
    <x v="27"/>
    <s v="10-B"/>
    <x v="2"/>
    <n v="83.9"/>
    <n v="100"/>
    <n v="89"/>
    <x v="0"/>
    <s v="Yes"/>
    <s v="Yes"/>
    <s v="Low"/>
    <x v="0"/>
    <x v="1"/>
    <x v="0"/>
  </r>
  <r>
    <x v="28"/>
    <s v="10-A"/>
    <x v="2"/>
    <n v="46.3"/>
    <n v="100"/>
    <n v="43"/>
    <x v="0"/>
    <s v="Yes"/>
    <s v="Yes"/>
    <s v="Medium"/>
    <x v="0"/>
    <x v="3"/>
    <x v="1"/>
  </r>
  <r>
    <x v="29"/>
    <s v="10-C"/>
    <x v="1"/>
    <n v="63.2"/>
    <n v="100"/>
    <n v="82"/>
    <x v="1"/>
    <s v="Yes"/>
    <s v="Yes"/>
    <s v="Low"/>
    <x v="0"/>
    <x v="0"/>
    <x v="2"/>
  </r>
  <r>
    <x v="30"/>
    <s v="10-C"/>
    <x v="0"/>
    <n v="68.900000000000006"/>
    <n v="100"/>
    <n v="99"/>
    <x v="0"/>
    <s v="No"/>
    <s v="No"/>
    <s v="High"/>
    <x v="0"/>
    <x v="0"/>
    <x v="0"/>
  </r>
  <r>
    <x v="31"/>
    <s v="10-B"/>
    <x v="1"/>
    <n v="70.7"/>
    <n v="100"/>
    <n v="47"/>
    <x v="1"/>
    <s v="Yes"/>
    <s v="Yes"/>
    <s v="Low"/>
    <x v="0"/>
    <x v="1"/>
    <x v="1"/>
  </r>
  <r>
    <x v="32"/>
    <s v="10-C"/>
    <x v="1"/>
    <n v="66.900000000000006"/>
    <n v="100"/>
    <n v="69"/>
    <x v="1"/>
    <s v="Yes"/>
    <s v="Yes"/>
    <s v="Low"/>
    <x v="0"/>
    <x v="0"/>
    <x v="1"/>
  </r>
  <r>
    <x v="33"/>
    <s v="10-C"/>
    <x v="2"/>
    <n v="85.7"/>
    <n v="100"/>
    <n v="87"/>
    <x v="0"/>
    <s v="No"/>
    <s v="Yes"/>
    <s v="Low"/>
    <x v="0"/>
    <x v="2"/>
    <x v="0"/>
  </r>
  <r>
    <x v="34"/>
    <s v="10-A"/>
    <x v="2"/>
    <n v="73.900000000000006"/>
    <n v="100"/>
    <n v="99"/>
    <x v="0"/>
    <s v="No"/>
    <s v="No"/>
    <s v="High"/>
    <x v="0"/>
    <x v="1"/>
    <x v="0"/>
  </r>
  <r>
    <x v="35"/>
    <s v="10-C"/>
    <x v="0"/>
    <n v="50.3"/>
    <n v="100"/>
    <n v="73"/>
    <x v="0"/>
    <s v="No"/>
    <s v="Yes"/>
    <s v="Low"/>
    <x v="0"/>
    <x v="0"/>
    <x v="1"/>
  </r>
  <r>
    <x v="36"/>
    <s v="10-C"/>
    <x v="1"/>
    <n v="80.900000000000006"/>
    <n v="100"/>
    <n v="59"/>
    <x v="0"/>
    <s v="No"/>
    <s v="No"/>
    <s v="High"/>
    <x v="0"/>
    <x v="1"/>
    <x v="1"/>
  </r>
  <r>
    <x v="37"/>
    <s v="10-A"/>
    <x v="2"/>
    <n v="53"/>
    <n v="100"/>
    <n v="90"/>
    <x v="0"/>
    <s v="Yes"/>
    <s v="Yes"/>
    <s v="Low"/>
    <x v="0"/>
    <x v="0"/>
    <x v="0"/>
  </r>
  <r>
    <x v="38"/>
    <s v="10-A"/>
    <x v="0"/>
    <n v="65.7"/>
    <n v="100"/>
    <n v="87"/>
    <x v="0"/>
    <s v="Yes"/>
    <s v="Yes"/>
    <s v="Low"/>
    <x v="0"/>
    <x v="0"/>
    <x v="0"/>
  </r>
  <r>
    <x v="39"/>
    <s v="10-A"/>
    <x v="0"/>
    <n v="49.8"/>
    <n v="100"/>
    <n v="88"/>
    <x v="1"/>
    <s v="Yes"/>
    <s v="Yes"/>
    <s v="Medium"/>
    <x v="0"/>
    <x v="3"/>
    <x v="0"/>
  </r>
  <r>
    <x v="40"/>
    <s v="10-C"/>
    <x v="2"/>
    <n v="49.3"/>
    <n v="100"/>
    <n v="53"/>
    <x v="0"/>
    <s v="Yes"/>
    <s v="Yes"/>
    <s v="Medium"/>
    <x v="0"/>
    <x v="3"/>
    <x v="1"/>
  </r>
  <r>
    <x v="41"/>
    <s v="10-A"/>
    <x v="2"/>
    <n v="48.1"/>
    <n v="100"/>
    <n v="61"/>
    <x v="0"/>
    <s v="Yes"/>
    <s v="No"/>
    <s v="Critical"/>
    <x v="0"/>
    <x v="3"/>
    <x v="1"/>
  </r>
  <r>
    <x v="42"/>
    <s v="10-A"/>
    <x v="1"/>
    <n v="40.1"/>
    <n v="100"/>
    <n v="91"/>
    <x v="1"/>
    <s v="Yes"/>
    <s v="Yes"/>
    <s v="Medium"/>
    <x v="0"/>
    <x v="3"/>
    <x v="0"/>
  </r>
  <r>
    <x v="43"/>
    <s v="10-B"/>
    <x v="1"/>
    <n v="76.2"/>
    <n v="100"/>
    <n v="42"/>
    <x v="0"/>
    <s v="No"/>
    <s v="Yes"/>
    <s v="Low"/>
    <x v="0"/>
    <x v="1"/>
    <x v="1"/>
  </r>
  <r>
    <x v="44"/>
    <s v="10-C"/>
    <x v="0"/>
    <n v="47.7"/>
    <n v="100"/>
    <n v="97"/>
    <x v="1"/>
    <s v="Yes"/>
    <s v="Yes"/>
    <s v="Medium"/>
    <x v="0"/>
    <x v="3"/>
    <x v="0"/>
  </r>
  <r>
    <x v="45"/>
    <s v="10-A"/>
    <x v="2"/>
    <n v="75.099999999999994"/>
    <n v="100"/>
    <n v="61"/>
    <x v="0"/>
    <s v="Yes"/>
    <s v="Yes"/>
    <s v="Low"/>
    <x v="0"/>
    <x v="1"/>
    <x v="1"/>
  </r>
  <r>
    <x v="46"/>
    <s v="10-B"/>
    <x v="0"/>
    <n v="84"/>
    <n v="100"/>
    <n v="80"/>
    <x v="1"/>
    <s v="Yes"/>
    <s v="Yes"/>
    <s v="Low"/>
    <x v="0"/>
    <x v="1"/>
    <x v="2"/>
  </r>
  <r>
    <x v="47"/>
    <s v="10-C"/>
    <x v="2"/>
    <n v="53.8"/>
    <n v="100"/>
    <n v="98"/>
    <x v="1"/>
    <s v="Yes"/>
    <s v="No"/>
    <s v="High"/>
    <x v="0"/>
    <x v="0"/>
    <x v="0"/>
  </r>
  <r>
    <x v="48"/>
    <s v="10-A"/>
    <x v="2"/>
    <n v="46"/>
    <n v="100"/>
    <n v="70"/>
    <x v="0"/>
    <s v="Yes"/>
    <s v="Yes"/>
    <s v="Medium"/>
    <x v="0"/>
    <x v="3"/>
    <x v="1"/>
  </r>
  <r>
    <x v="49"/>
    <s v="10-C"/>
    <x v="0"/>
    <n v="52.8"/>
    <n v="100"/>
    <n v="68"/>
    <x v="1"/>
    <s v="Yes"/>
    <s v="No"/>
    <s v="High"/>
    <x v="0"/>
    <x v="0"/>
    <x v="1"/>
  </r>
  <r>
    <x v="50"/>
    <s v="10-C"/>
    <x v="2"/>
    <n v="43.1"/>
    <n v="100"/>
    <n v="71"/>
    <x v="0"/>
    <s v="No"/>
    <s v="Yes"/>
    <s v="Medium"/>
    <x v="0"/>
    <x v="3"/>
    <x v="1"/>
  </r>
  <r>
    <x v="51"/>
    <s v="10-B"/>
    <x v="1"/>
    <n v="54.2"/>
    <n v="100"/>
    <n v="92"/>
    <x v="0"/>
    <s v="No"/>
    <s v="Yes"/>
    <s v="Low"/>
    <x v="0"/>
    <x v="0"/>
    <x v="0"/>
  </r>
  <r>
    <x v="52"/>
    <s v="10-A"/>
    <x v="0"/>
    <n v="73.3"/>
    <n v="100"/>
    <n v="63"/>
    <x v="1"/>
    <s v="No"/>
    <s v="Yes"/>
    <s v="Low"/>
    <x v="0"/>
    <x v="1"/>
    <x v="1"/>
  </r>
  <r>
    <x v="53"/>
    <s v="10-C"/>
    <x v="1"/>
    <n v="58.5"/>
    <n v="100"/>
    <n v="75"/>
    <x v="1"/>
    <s v="Yes"/>
    <s v="Yes"/>
    <s v="Low"/>
    <x v="0"/>
    <x v="0"/>
    <x v="2"/>
  </r>
  <r>
    <x v="54"/>
    <s v="10-A"/>
    <x v="1"/>
    <n v="39"/>
    <n v="100"/>
    <n v="80"/>
    <x v="0"/>
    <s v="Yes"/>
    <s v="Yes"/>
    <s v="Medium"/>
    <x v="1"/>
    <x v="3"/>
    <x v="2"/>
  </r>
  <r>
    <x v="55"/>
    <s v="10-B"/>
    <x v="2"/>
    <n v="48.5"/>
    <n v="100"/>
    <n v="55"/>
    <x v="1"/>
    <s v="Yes"/>
    <s v="No"/>
    <s v="Critical"/>
    <x v="0"/>
    <x v="3"/>
    <x v="1"/>
  </r>
  <r>
    <x v="56"/>
    <s v="10-C"/>
    <x v="1"/>
    <n v="79.3"/>
    <n v="100"/>
    <n v="53"/>
    <x v="0"/>
    <s v="Yes"/>
    <s v="Yes"/>
    <s v="Low"/>
    <x v="0"/>
    <x v="1"/>
    <x v="1"/>
  </r>
  <r>
    <x v="57"/>
    <s v="10-A"/>
    <x v="2"/>
    <n v="36.299999999999997"/>
    <n v="100"/>
    <n v="53"/>
    <x v="1"/>
    <s v="No"/>
    <s v="Yes"/>
    <s v="Medium"/>
    <x v="1"/>
    <x v="3"/>
    <x v="1"/>
  </r>
  <r>
    <x v="58"/>
    <s v="10-B"/>
    <x v="2"/>
    <n v="62.6"/>
    <n v="100"/>
    <n v="96"/>
    <x v="1"/>
    <s v="Yes"/>
    <s v="No"/>
    <s v="High"/>
    <x v="0"/>
    <x v="0"/>
    <x v="0"/>
  </r>
  <r>
    <x v="59"/>
    <s v="10-A"/>
    <x v="0"/>
    <n v="54.9"/>
    <n v="100"/>
    <n v="89"/>
    <x v="0"/>
    <s v="No"/>
    <s v="No"/>
    <s v="High"/>
    <x v="0"/>
    <x v="0"/>
    <x v="0"/>
  </r>
  <r>
    <x v="60"/>
    <s v="10-C"/>
    <x v="1"/>
    <n v="66.099999999999994"/>
    <n v="100"/>
    <n v="91"/>
    <x v="1"/>
    <s v="Yes"/>
    <s v="Yes"/>
    <s v="Low"/>
    <x v="0"/>
    <x v="0"/>
    <x v="0"/>
  </r>
  <r>
    <x v="61"/>
    <s v="10-A"/>
    <x v="0"/>
    <n v="71.099999999999994"/>
    <n v="100"/>
    <n v="41"/>
    <x v="0"/>
    <s v="Yes"/>
    <s v="Yes"/>
    <s v="Low"/>
    <x v="0"/>
    <x v="1"/>
    <x v="1"/>
  </r>
  <r>
    <x v="62"/>
    <s v="10-C"/>
    <x v="1"/>
    <n v="40.799999999999997"/>
    <n v="100"/>
    <n v="98"/>
    <x v="0"/>
    <s v="No"/>
    <s v="Yes"/>
    <s v="Medium"/>
    <x v="0"/>
    <x v="3"/>
    <x v="0"/>
  </r>
  <r>
    <x v="63"/>
    <s v="10-A"/>
    <x v="2"/>
    <n v="75.900000000000006"/>
    <n v="100"/>
    <n v="89"/>
    <x v="0"/>
    <s v="Yes"/>
    <s v="Yes"/>
    <s v="Low"/>
    <x v="0"/>
    <x v="1"/>
    <x v="0"/>
  </r>
  <r>
    <x v="64"/>
    <s v="10-B"/>
    <x v="1"/>
    <n v="72.3"/>
    <n v="100"/>
    <n v="43"/>
    <x v="1"/>
    <s v="No"/>
    <s v="Yes"/>
    <s v="Low"/>
    <x v="0"/>
    <x v="1"/>
    <x v="1"/>
  </r>
  <r>
    <x v="65"/>
    <s v="10-C"/>
    <x v="1"/>
    <n v="57.5"/>
    <n v="100"/>
    <n v="75"/>
    <x v="0"/>
    <s v="Yes"/>
    <s v="No"/>
    <s v="High"/>
    <x v="0"/>
    <x v="0"/>
    <x v="2"/>
  </r>
  <r>
    <x v="66"/>
    <s v="10-A"/>
    <x v="0"/>
    <n v="46.3"/>
    <n v="100"/>
    <n v="73"/>
    <x v="0"/>
    <s v="No"/>
    <s v="Yes"/>
    <s v="Medium"/>
    <x v="0"/>
    <x v="3"/>
    <x v="1"/>
  </r>
  <r>
    <x v="67"/>
    <s v="10-B"/>
    <x v="0"/>
    <n v="80.099999999999994"/>
    <n v="100"/>
    <n v="41"/>
    <x v="0"/>
    <s v="No"/>
    <s v="No"/>
    <s v="High"/>
    <x v="0"/>
    <x v="1"/>
    <x v="1"/>
  </r>
  <r>
    <x v="68"/>
    <s v="10-B"/>
    <x v="2"/>
    <n v="54.5"/>
    <n v="100"/>
    <n v="85"/>
    <x v="0"/>
    <s v="Yes"/>
    <s v="Yes"/>
    <s v="Low"/>
    <x v="0"/>
    <x v="0"/>
    <x v="0"/>
  </r>
  <r>
    <x v="69"/>
    <s v="10-B"/>
    <x v="1"/>
    <n v="40.700000000000003"/>
    <n v="100"/>
    <n v="77"/>
    <x v="1"/>
    <s v="Yes"/>
    <s v="No"/>
    <s v="Critical"/>
    <x v="0"/>
    <x v="3"/>
    <x v="2"/>
  </r>
  <r>
    <x v="70"/>
    <s v="10-C"/>
    <x v="1"/>
    <n v="88.1"/>
    <n v="100"/>
    <n v="91"/>
    <x v="0"/>
    <s v="Yes"/>
    <s v="Yes"/>
    <s v="Low"/>
    <x v="0"/>
    <x v="2"/>
    <x v="0"/>
  </r>
  <r>
    <x v="71"/>
    <s v="10-C"/>
    <x v="0"/>
    <n v="41"/>
    <n v="100"/>
    <n v="60"/>
    <x v="0"/>
    <s v="Yes"/>
    <s v="No"/>
    <s v="Critical"/>
    <x v="0"/>
    <x v="3"/>
    <x v="1"/>
  </r>
  <r>
    <x v="72"/>
    <s v="10-B"/>
    <x v="0"/>
    <n v="86.7"/>
    <n v="100"/>
    <n v="67"/>
    <x v="1"/>
    <s v="Yes"/>
    <s v="Yes"/>
    <s v="Low"/>
    <x v="0"/>
    <x v="2"/>
    <x v="1"/>
  </r>
  <r>
    <x v="73"/>
    <s v="10-B"/>
    <x v="0"/>
    <n v="86.1"/>
    <n v="100"/>
    <n v="91"/>
    <x v="0"/>
    <s v="Yes"/>
    <s v="Yes"/>
    <s v="Low"/>
    <x v="0"/>
    <x v="2"/>
    <x v="0"/>
  </r>
  <r>
    <x v="74"/>
    <s v="10-C"/>
    <x v="1"/>
    <n v="69.5"/>
    <n v="100"/>
    <n v="55"/>
    <x v="1"/>
    <s v="Yes"/>
    <s v="Yes"/>
    <s v="Low"/>
    <x v="0"/>
    <x v="0"/>
    <x v="1"/>
  </r>
  <r>
    <x v="75"/>
    <s v="10-B"/>
    <x v="0"/>
    <n v="68.599999999999994"/>
    <n v="100"/>
    <n v="56"/>
    <x v="0"/>
    <s v="No"/>
    <s v="No"/>
    <s v="High"/>
    <x v="0"/>
    <x v="0"/>
    <x v="1"/>
  </r>
  <r>
    <x v="76"/>
    <s v="10-C"/>
    <x v="2"/>
    <n v="87.4"/>
    <n v="100"/>
    <n v="84"/>
    <x v="0"/>
    <s v="No"/>
    <s v="No"/>
    <s v="High"/>
    <x v="0"/>
    <x v="2"/>
    <x v="2"/>
  </r>
  <r>
    <x v="77"/>
    <s v="10-C"/>
    <x v="1"/>
    <n v="65.400000000000006"/>
    <n v="100"/>
    <n v="44"/>
    <x v="0"/>
    <s v="Yes"/>
    <s v="No"/>
    <s v="High"/>
    <x v="0"/>
    <x v="0"/>
    <x v="1"/>
  </r>
  <r>
    <x v="78"/>
    <s v="10-C"/>
    <x v="0"/>
    <n v="78.099999999999994"/>
    <n v="100"/>
    <n v="41"/>
    <x v="1"/>
    <s v="No"/>
    <s v="Yes"/>
    <s v="Low"/>
    <x v="0"/>
    <x v="1"/>
    <x v="1"/>
  </r>
  <r>
    <x v="79"/>
    <s v="10-B"/>
    <x v="1"/>
    <n v="37.6"/>
    <n v="100"/>
    <n v="56"/>
    <x v="1"/>
    <s v="Yes"/>
    <s v="Yes"/>
    <s v="Medium"/>
    <x v="1"/>
    <x v="3"/>
    <x v="1"/>
  </r>
  <r>
    <x v="80"/>
    <s v="10-C"/>
    <x v="0"/>
    <n v="52.6"/>
    <n v="100"/>
    <n v="96"/>
    <x v="1"/>
    <s v="Yes"/>
    <s v="No"/>
    <s v="High"/>
    <x v="0"/>
    <x v="0"/>
    <x v="0"/>
  </r>
  <r>
    <x v="81"/>
    <s v="10-A"/>
    <x v="1"/>
    <n v="76"/>
    <n v="100"/>
    <n v="80"/>
    <x v="1"/>
    <s v="Yes"/>
    <s v="No"/>
    <s v="High"/>
    <x v="0"/>
    <x v="1"/>
    <x v="2"/>
  </r>
  <r>
    <x v="82"/>
    <s v="10-A"/>
    <x v="1"/>
    <n v="71.099999999999994"/>
    <n v="100"/>
    <n v="71"/>
    <x v="0"/>
    <s v="Yes"/>
    <s v="No"/>
    <s v="High"/>
    <x v="0"/>
    <x v="1"/>
    <x v="1"/>
  </r>
  <r>
    <x v="83"/>
    <s v="10-A"/>
    <x v="2"/>
    <n v="79.099999999999994"/>
    <n v="100"/>
    <n v="51"/>
    <x v="1"/>
    <s v="Yes"/>
    <s v="Yes"/>
    <s v="Low"/>
    <x v="0"/>
    <x v="1"/>
    <x v="1"/>
  </r>
  <r>
    <x v="84"/>
    <s v="10-B"/>
    <x v="1"/>
    <n v="58.4"/>
    <n v="100"/>
    <n v="94"/>
    <x v="1"/>
    <s v="Yes"/>
    <s v="Yes"/>
    <s v="Low"/>
    <x v="0"/>
    <x v="0"/>
    <x v="0"/>
  </r>
  <r>
    <x v="85"/>
    <s v="10-B"/>
    <x v="0"/>
    <n v="66.5"/>
    <n v="100"/>
    <n v="55"/>
    <x v="1"/>
    <s v="No"/>
    <s v="Yes"/>
    <s v="Low"/>
    <x v="0"/>
    <x v="0"/>
    <x v="1"/>
  </r>
  <r>
    <x v="86"/>
    <s v="10-B"/>
    <x v="2"/>
    <n v="60.8"/>
    <n v="100"/>
    <n v="48"/>
    <x v="0"/>
    <s v="No"/>
    <s v="Yes"/>
    <s v="Low"/>
    <x v="0"/>
    <x v="0"/>
    <x v="1"/>
  </r>
  <r>
    <x v="87"/>
    <s v="10-C"/>
    <x v="0"/>
    <n v="53.1"/>
    <n v="100"/>
    <n v="71"/>
    <x v="1"/>
    <s v="Yes"/>
    <s v="Yes"/>
    <s v="Low"/>
    <x v="0"/>
    <x v="0"/>
    <x v="1"/>
  </r>
  <r>
    <x v="88"/>
    <s v="10-B"/>
    <x v="1"/>
    <n v="45.6"/>
    <n v="100"/>
    <n v="86"/>
    <x v="1"/>
    <s v="No"/>
    <s v="No"/>
    <s v="Critical"/>
    <x v="0"/>
    <x v="3"/>
    <x v="0"/>
  </r>
  <r>
    <x v="89"/>
    <s v="10-B"/>
    <x v="2"/>
    <n v="56.7"/>
    <n v="100"/>
    <n v="97"/>
    <x v="0"/>
    <s v="Yes"/>
    <s v="No"/>
    <s v="High"/>
    <x v="0"/>
    <x v="0"/>
    <x v="0"/>
  </r>
  <r>
    <x v="90"/>
    <s v="10-A"/>
    <x v="0"/>
    <n v="78.400000000000006"/>
    <n v="100"/>
    <n v="74"/>
    <x v="0"/>
    <s v="Yes"/>
    <s v="Yes"/>
    <s v="Low"/>
    <x v="0"/>
    <x v="1"/>
    <x v="1"/>
  </r>
  <r>
    <x v="91"/>
    <s v="10-B"/>
    <x v="1"/>
    <n v="73"/>
    <n v="100"/>
    <n v="100"/>
    <x v="1"/>
    <s v="Yes"/>
    <s v="No"/>
    <s v="High"/>
    <x v="0"/>
    <x v="1"/>
    <x v="0"/>
  </r>
  <r>
    <x v="92"/>
    <s v="10-B"/>
    <x v="1"/>
    <n v="67.099999999999994"/>
    <n v="100"/>
    <n v="41"/>
    <x v="0"/>
    <s v="Yes"/>
    <s v="Yes"/>
    <s v="Low"/>
    <x v="0"/>
    <x v="0"/>
    <x v="1"/>
  </r>
  <r>
    <x v="93"/>
    <s v="10-C"/>
    <x v="0"/>
    <n v="49.1"/>
    <n v="100"/>
    <n v="91"/>
    <x v="1"/>
    <s v="No"/>
    <s v="No"/>
    <s v="Critical"/>
    <x v="0"/>
    <x v="3"/>
    <x v="0"/>
  </r>
  <r>
    <x v="94"/>
    <s v="10-C"/>
    <x v="0"/>
    <n v="66.3"/>
    <n v="100"/>
    <n v="43"/>
    <x v="0"/>
    <s v="No"/>
    <s v="Yes"/>
    <s v="Low"/>
    <x v="0"/>
    <x v="0"/>
    <x v="1"/>
  </r>
  <r>
    <x v="95"/>
    <s v="10-B"/>
    <x v="0"/>
    <n v="37.6"/>
    <n v="100"/>
    <n v="56"/>
    <x v="0"/>
    <s v="Yes"/>
    <s v="Yes"/>
    <s v="Medium"/>
    <x v="1"/>
    <x v="3"/>
    <x v="1"/>
  </r>
  <r>
    <x v="96"/>
    <s v="10-B"/>
    <x v="0"/>
    <n v="50.3"/>
    <n v="100"/>
    <n v="73"/>
    <x v="0"/>
    <s v="Yes"/>
    <s v="Yes"/>
    <s v="Low"/>
    <x v="0"/>
    <x v="0"/>
    <x v="1"/>
  </r>
  <r>
    <x v="97"/>
    <s v="10-C"/>
    <x v="2"/>
    <n v="65.5"/>
    <n v="100"/>
    <n v="65"/>
    <x v="1"/>
    <s v="No"/>
    <s v="No"/>
    <s v="High"/>
    <x v="0"/>
    <x v="0"/>
    <x v="1"/>
  </r>
  <r>
    <x v="98"/>
    <s v="10-B"/>
    <x v="0"/>
    <n v="80.2"/>
    <n v="100"/>
    <n v="82"/>
    <x v="0"/>
    <s v="No"/>
    <s v="No"/>
    <s v="High"/>
    <x v="0"/>
    <x v="1"/>
    <x v="2"/>
  </r>
  <r>
    <x v="99"/>
    <s v="10-C"/>
    <x v="0"/>
    <n v="46"/>
    <n v="100"/>
    <n v="80"/>
    <x v="0"/>
    <s v="Yes"/>
    <s v="No"/>
    <s v="Critical"/>
    <x v="0"/>
    <x v="3"/>
    <x v="2"/>
  </r>
  <r>
    <x v="100"/>
    <s v="10-B"/>
    <x v="0"/>
    <n v="50.8"/>
    <n v="100"/>
    <n v="68"/>
    <x v="1"/>
    <s v="No"/>
    <s v="No"/>
    <s v="High"/>
    <x v="0"/>
    <x v="0"/>
    <x v="1"/>
  </r>
  <r>
    <x v="101"/>
    <s v="10-B"/>
    <x v="2"/>
    <n v="64.900000000000006"/>
    <n v="100"/>
    <n v="89"/>
    <x v="1"/>
    <s v="No"/>
    <s v="Yes"/>
    <s v="Low"/>
    <x v="0"/>
    <x v="0"/>
    <x v="0"/>
  </r>
  <r>
    <x v="102"/>
    <s v="10-A"/>
    <x v="0"/>
    <n v="49.6"/>
    <n v="100"/>
    <n v="96"/>
    <x v="1"/>
    <s v="Yes"/>
    <s v="Yes"/>
    <s v="Medium"/>
    <x v="0"/>
    <x v="3"/>
    <x v="0"/>
  </r>
  <r>
    <x v="103"/>
    <s v="10-C"/>
    <x v="1"/>
    <n v="78.7"/>
    <n v="100"/>
    <n v="67"/>
    <x v="0"/>
    <s v="Yes"/>
    <s v="Yes"/>
    <s v="Low"/>
    <x v="0"/>
    <x v="1"/>
    <x v="1"/>
  </r>
  <r>
    <x v="104"/>
    <s v="10-C"/>
    <x v="0"/>
    <n v="79.8"/>
    <n v="100"/>
    <n v="58"/>
    <x v="1"/>
    <s v="No"/>
    <s v="Yes"/>
    <s v="Low"/>
    <x v="0"/>
    <x v="1"/>
    <x v="1"/>
  </r>
  <r>
    <x v="105"/>
    <s v="10-A"/>
    <x v="1"/>
    <n v="65.8"/>
    <n v="100"/>
    <n v="98"/>
    <x v="1"/>
    <s v="Yes"/>
    <s v="Yes"/>
    <s v="Low"/>
    <x v="0"/>
    <x v="0"/>
    <x v="0"/>
  </r>
  <r>
    <x v="106"/>
    <s v="10-A"/>
    <x v="0"/>
    <n v="73.599999999999994"/>
    <n v="100"/>
    <n v="46"/>
    <x v="0"/>
    <s v="No"/>
    <s v="No"/>
    <s v="High"/>
    <x v="0"/>
    <x v="1"/>
    <x v="1"/>
  </r>
  <r>
    <x v="107"/>
    <s v="10-A"/>
    <x v="1"/>
    <n v="38.6"/>
    <n v="100"/>
    <n v="66"/>
    <x v="1"/>
    <s v="Yes"/>
    <s v="No"/>
    <s v="Critical"/>
    <x v="1"/>
    <x v="3"/>
    <x v="1"/>
  </r>
  <r>
    <x v="108"/>
    <s v="10-B"/>
    <x v="2"/>
    <n v="53.9"/>
    <n v="100"/>
    <n v="99"/>
    <x v="1"/>
    <s v="No"/>
    <s v="Yes"/>
    <s v="Low"/>
    <x v="0"/>
    <x v="0"/>
    <x v="0"/>
  </r>
  <r>
    <x v="109"/>
    <s v="10-C"/>
    <x v="0"/>
    <n v="67"/>
    <n v="100"/>
    <n v="100"/>
    <x v="1"/>
    <s v="No"/>
    <s v="Yes"/>
    <s v="Low"/>
    <x v="0"/>
    <x v="0"/>
    <x v="0"/>
  </r>
  <r>
    <x v="110"/>
    <s v="10-A"/>
    <x v="1"/>
    <n v="85.5"/>
    <n v="100"/>
    <n v="95"/>
    <x v="0"/>
    <s v="Yes"/>
    <s v="No"/>
    <s v="High"/>
    <x v="0"/>
    <x v="2"/>
    <x v="0"/>
  </r>
  <r>
    <x v="111"/>
    <s v="10-A"/>
    <x v="2"/>
    <n v="67.8"/>
    <n v="100"/>
    <n v="98"/>
    <x v="1"/>
    <s v="Yes"/>
    <s v="Yes"/>
    <s v="Low"/>
    <x v="0"/>
    <x v="0"/>
    <x v="0"/>
  </r>
  <r>
    <x v="112"/>
    <s v="10-A"/>
    <x v="2"/>
    <n v="39.5"/>
    <n v="100"/>
    <n v="55"/>
    <x v="1"/>
    <s v="Yes"/>
    <s v="Yes"/>
    <s v="Medium"/>
    <x v="1"/>
    <x v="3"/>
    <x v="1"/>
  </r>
  <r>
    <x v="113"/>
    <s v="10-C"/>
    <x v="1"/>
    <n v="75.400000000000006"/>
    <n v="100"/>
    <n v="84"/>
    <x v="0"/>
    <s v="Yes"/>
    <s v="Yes"/>
    <s v="Low"/>
    <x v="0"/>
    <x v="1"/>
    <x v="2"/>
  </r>
  <r>
    <x v="114"/>
    <s v="10-C"/>
    <x v="0"/>
    <n v="60"/>
    <n v="100"/>
    <n v="60"/>
    <x v="0"/>
    <s v="Yes"/>
    <s v="Yes"/>
    <s v="Low"/>
    <x v="0"/>
    <x v="0"/>
    <x v="1"/>
  </r>
  <r>
    <x v="115"/>
    <s v="10-C"/>
    <x v="2"/>
    <n v="49.7"/>
    <n v="100"/>
    <n v="87"/>
    <x v="0"/>
    <s v="Yes"/>
    <s v="No"/>
    <s v="Critical"/>
    <x v="0"/>
    <x v="3"/>
    <x v="0"/>
  </r>
  <r>
    <x v="116"/>
    <s v="10-A"/>
    <x v="0"/>
    <n v="68.7"/>
    <n v="100"/>
    <n v="87"/>
    <x v="0"/>
    <s v="Yes"/>
    <s v="Yes"/>
    <s v="Low"/>
    <x v="0"/>
    <x v="0"/>
    <x v="0"/>
  </r>
  <r>
    <x v="117"/>
    <s v="10-A"/>
    <x v="2"/>
    <n v="46.7"/>
    <n v="100"/>
    <n v="67"/>
    <x v="1"/>
    <s v="Yes"/>
    <s v="No"/>
    <s v="Critical"/>
    <x v="0"/>
    <x v="3"/>
    <x v="1"/>
  </r>
  <r>
    <x v="118"/>
    <s v="10-A"/>
    <x v="1"/>
    <n v="70.599999999999994"/>
    <n v="100"/>
    <n v="46"/>
    <x v="1"/>
    <s v="No"/>
    <s v="No"/>
    <s v="High"/>
    <x v="0"/>
    <x v="1"/>
    <x v="1"/>
  </r>
  <r>
    <x v="119"/>
    <s v="10-A"/>
    <x v="0"/>
    <n v="47.1"/>
    <n v="100"/>
    <n v="41"/>
    <x v="0"/>
    <s v="Yes"/>
    <s v="Yes"/>
    <s v="Medium"/>
    <x v="0"/>
    <x v="3"/>
    <x v="1"/>
  </r>
  <r>
    <x v="120"/>
    <s v="10-B"/>
    <x v="1"/>
    <n v="74.5"/>
    <n v="100"/>
    <n v="55"/>
    <x v="0"/>
    <s v="Yes"/>
    <s v="Yes"/>
    <s v="Low"/>
    <x v="0"/>
    <x v="1"/>
    <x v="1"/>
  </r>
  <r>
    <x v="121"/>
    <s v="10-C"/>
    <x v="2"/>
    <n v="79.8"/>
    <n v="100"/>
    <n v="58"/>
    <x v="0"/>
    <s v="Yes"/>
    <s v="No"/>
    <s v="High"/>
    <x v="0"/>
    <x v="1"/>
    <x v="1"/>
  </r>
  <r>
    <x v="122"/>
    <s v="10-C"/>
    <x v="2"/>
    <n v="42.7"/>
    <n v="100"/>
    <n v="67"/>
    <x v="1"/>
    <s v="Yes"/>
    <s v="Yes"/>
    <s v="Medium"/>
    <x v="0"/>
    <x v="3"/>
    <x v="1"/>
  </r>
  <r>
    <x v="123"/>
    <s v="10-B"/>
    <x v="0"/>
    <n v="66.599999999999994"/>
    <n v="100"/>
    <n v="76"/>
    <x v="0"/>
    <s v="Yes"/>
    <s v="No"/>
    <s v="High"/>
    <x v="0"/>
    <x v="0"/>
    <x v="2"/>
  </r>
  <r>
    <x v="124"/>
    <s v="10-A"/>
    <x v="1"/>
    <n v="62.6"/>
    <n v="100"/>
    <n v="86"/>
    <x v="0"/>
    <s v="Yes"/>
    <s v="Yes"/>
    <s v="Low"/>
    <x v="0"/>
    <x v="0"/>
    <x v="0"/>
  </r>
  <r>
    <x v="125"/>
    <s v="10-A"/>
    <x v="2"/>
    <n v="74"/>
    <n v="100"/>
    <n v="90"/>
    <x v="0"/>
    <s v="Yes"/>
    <s v="Yes"/>
    <s v="Low"/>
    <x v="0"/>
    <x v="1"/>
    <x v="0"/>
  </r>
  <r>
    <x v="126"/>
    <s v="10-A"/>
    <x v="2"/>
    <n v="40.6"/>
    <n v="100"/>
    <n v="66"/>
    <x v="1"/>
    <s v="No"/>
    <s v="Yes"/>
    <s v="Medium"/>
    <x v="0"/>
    <x v="3"/>
    <x v="1"/>
  </r>
  <r>
    <x v="127"/>
    <s v="10-C"/>
    <x v="0"/>
    <n v="75.3"/>
    <n v="100"/>
    <n v="73"/>
    <x v="0"/>
    <s v="Yes"/>
    <s v="Yes"/>
    <s v="Low"/>
    <x v="0"/>
    <x v="1"/>
    <x v="1"/>
  </r>
  <r>
    <x v="128"/>
    <s v="10-A"/>
    <x v="2"/>
    <n v="47.2"/>
    <n v="100"/>
    <n v="92"/>
    <x v="0"/>
    <s v="No"/>
    <s v="Yes"/>
    <s v="Medium"/>
    <x v="0"/>
    <x v="3"/>
    <x v="0"/>
  </r>
  <r>
    <x v="129"/>
    <s v="10-B"/>
    <x v="0"/>
    <n v="41.8"/>
    <n v="100"/>
    <n v="98"/>
    <x v="1"/>
    <s v="No"/>
    <s v="No"/>
    <s v="Critical"/>
    <x v="0"/>
    <x v="3"/>
    <x v="0"/>
  </r>
  <r>
    <x v="130"/>
    <s v="10-C"/>
    <x v="1"/>
    <n v="71.099999999999994"/>
    <n v="100"/>
    <n v="51"/>
    <x v="1"/>
    <s v="Yes"/>
    <s v="Yes"/>
    <s v="Low"/>
    <x v="0"/>
    <x v="1"/>
    <x v="1"/>
  </r>
  <r>
    <x v="131"/>
    <s v="10-C"/>
    <x v="2"/>
    <n v="41.9"/>
    <n v="100"/>
    <n v="59"/>
    <x v="1"/>
    <s v="No"/>
    <s v="Yes"/>
    <s v="Medium"/>
    <x v="0"/>
    <x v="3"/>
    <x v="1"/>
  </r>
  <r>
    <x v="132"/>
    <s v="10-C"/>
    <x v="0"/>
    <n v="71.5"/>
    <n v="100"/>
    <n v="95"/>
    <x v="1"/>
    <s v="Yes"/>
    <s v="Yes"/>
    <s v="Low"/>
    <x v="0"/>
    <x v="1"/>
    <x v="0"/>
  </r>
  <r>
    <x v="133"/>
    <s v="10-B"/>
    <x v="2"/>
    <n v="67.400000000000006"/>
    <n v="100"/>
    <n v="74"/>
    <x v="1"/>
    <s v="Yes"/>
    <s v="No"/>
    <s v="High"/>
    <x v="0"/>
    <x v="0"/>
    <x v="1"/>
  </r>
  <r>
    <x v="134"/>
    <s v="10-C"/>
    <x v="2"/>
    <n v="77.3"/>
    <n v="100"/>
    <n v="43"/>
    <x v="0"/>
    <s v="Yes"/>
    <s v="Yes"/>
    <s v="Low"/>
    <x v="0"/>
    <x v="1"/>
    <x v="1"/>
  </r>
  <r>
    <x v="135"/>
    <s v="10-B"/>
    <x v="2"/>
    <n v="82"/>
    <n v="100"/>
    <n v="90"/>
    <x v="0"/>
    <s v="Yes"/>
    <s v="No"/>
    <s v="High"/>
    <x v="0"/>
    <x v="1"/>
    <x v="0"/>
  </r>
  <r>
    <x v="136"/>
    <s v="10-B"/>
    <x v="0"/>
    <n v="52.2"/>
    <n v="100"/>
    <n v="82"/>
    <x v="0"/>
    <s v="Yes"/>
    <s v="Yes"/>
    <s v="Low"/>
    <x v="0"/>
    <x v="0"/>
    <x v="2"/>
  </r>
  <r>
    <x v="137"/>
    <s v="10-B"/>
    <x v="1"/>
    <n v="58.5"/>
    <n v="100"/>
    <n v="45"/>
    <x v="1"/>
    <s v="Yes"/>
    <s v="No"/>
    <s v="High"/>
    <x v="0"/>
    <x v="0"/>
    <x v="1"/>
  </r>
  <r>
    <x v="138"/>
    <s v="10-B"/>
    <x v="0"/>
    <n v="83.9"/>
    <n v="100"/>
    <n v="89"/>
    <x v="0"/>
    <s v="Yes"/>
    <s v="Yes"/>
    <s v="Low"/>
    <x v="0"/>
    <x v="1"/>
    <x v="0"/>
  </r>
  <r>
    <x v="139"/>
    <s v="10-A"/>
    <x v="2"/>
    <n v="79.400000000000006"/>
    <n v="100"/>
    <n v="74"/>
    <x v="1"/>
    <s v="Yes"/>
    <s v="Yes"/>
    <s v="Low"/>
    <x v="0"/>
    <x v="1"/>
    <x v="1"/>
  </r>
  <r>
    <x v="140"/>
    <s v="10-C"/>
    <x v="2"/>
    <n v="46.9"/>
    <n v="100"/>
    <n v="59"/>
    <x v="1"/>
    <s v="Yes"/>
    <s v="Yes"/>
    <s v="Medium"/>
    <x v="0"/>
    <x v="3"/>
    <x v="1"/>
  </r>
  <r>
    <x v="141"/>
    <s v="10-C"/>
    <x v="1"/>
    <n v="61"/>
    <n v="100"/>
    <n v="60"/>
    <x v="0"/>
    <s v="Yes"/>
    <s v="No"/>
    <s v="High"/>
    <x v="0"/>
    <x v="0"/>
    <x v="1"/>
  </r>
  <r>
    <x v="142"/>
    <s v="10-C"/>
    <x v="0"/>
    <n v="82.3"/>
    <n v="100"/>
    <n v="53"/>
    <x v="1"/>
    <s v="Yes"/>
    <s v="Yes"/>
    <s v="Low"/>
    <x v="0"/>
    <x v="1"/>
    <x v="1"/>
  </r>
  <r>
    <x v="143"/>
    <s v="10-A"/>
    <x v="1"/>
    <n v="38.9"/>
    <n v="100"/>
    <n v="49"/>
    <x v="1"/>
    <s v="Yes"/>
    <s v="Yes"/>
    <s v="Medium"/>
    <x v="1"/>
    <x v="3"/>
    <x v="1"/>
  </r>
  <r>
    <x v="144"/>
    <s v="10-B"/>
    <x v="1"/>
    <n v="42.6"/>
    <n v="100"/>
    <n v="56"/>
    <x v="0"/>
    <s v="Yes"/>
    <s v="Yes"/>
    <s v="Medium"/>
    <x v="0"/>
    <x v="3"/>
    <x v="1"/>
  </r>
  <r>
    <x v="145"/>
    <s v="10-B"/>
    <x v="1"/>
    <n v="61.3"/>
    <n v="100"/>
    <n v="73"/>
    <x v="0"/>
    <s v="Yes"/>
    <s v="No"/>
    <s v="High"/>
    <x v="0"/>
    <x v="0"/>
    <x v="1"/>
  </r>
  <r>
    <x v="146"/>
    <s v="10-A"/>
    <x v="2"/>
    <n v="55"/>
    <n v="100"/>
    <n v="50"/>
    <x v="0"/>
    <s v="Yes"/>
    <s v="Yes"/>
    <s v="Low"/>
    <x v="0"/>
    <x v="0"/>
    <x v="1"/>
  </r>
  <r>
    <x v="147"/>
    <s v="10-B"/>
    <x v="0"/>
    <n v="72.3"/>
    <n v="100"/>
    <n v="53"/>
    <x v="0"/>
    <s v="No"/>
    <s v="Yes"/>
    <s v="Low"/>
    <x v="0"/>
    <x v="1"/>
    <x v="1"/>
  </r>
  <r>
    <x v="148"/>
    <s v="10-A"/>
    <x v="0"/>
    <n v="78.400000000000006"/>
    <n v="100"/>
    <n v="84"/>
    <x v="1"/>
    <s v="Yes"/>
    <s v="Yes"/>
    <s v="Low"/>
    <x v="0"/>
    <x v="1"/>
    <x v="2"/>
  </r>
  <r>
    <x v="149"/>
    <s v="10-C"/>
    <x v="0"/>
    <n v="67.099999999999994"/>
    <n v="100"/>
    <n v="91"/>
    <x v="0"/>
    <s v="Yes"/>
    <s v="No"/>
    <s v="High"/>
    <x v="0"/>
    <x v="0"/>
    <x v="0"/>
  </r>
  <r>
    <x v="150"/>
    <s v="10-B"/>
    <x v="0"/>
    <n v="49.5"/>
    <n v="100"/>
    <n v="85"/>
    <x v="1"/>
    <s v="Yes"/>
    <s v="Yes"/>
    <s v="Medium"/>
    <x v="0"/>
    <x v="3"/>
    <x v="0"/>
  </r>
  <r>
    <x v="151"/>
    <s v="10-A"/>
    <x v="0"/>
    <n v="83.1"/>
    <n v="100"/>
    <n v="71"/>
    <x v="0"/>
    <s v="Yes"/>
    <s v="No"/>
    <s v="High"/>
    <x v="0"/>
    <x v="1"/>
    <x v="1"/>
  </r>
  <r>
    <x v="152"/>
    <s v="10-B"/>
    <x v="1"/>
    <n v="72.400000000000006"/>
    <n v="100"/>
    <n v="54"/>
    <x v="0"/>
    <s v="Yes"/>
    <s v="Yes"/>
    <s v="Low"/>
    <x v="0"/>
    <x v="1"/>
    <x v="1"/>
  </r>
  <r>
    <x v="153"/>
    <s v="10-C"/>
    <x v="0"/>
    <n v="68.7"/>
    <n v="100"/>
    <n v="97"/>
    <x v="0"/>
    <s v="No"/>
    <s v="Yes"/>
    <s v="Low"/>
    <x v="0"/>
    <x v="0"/>
    <x v="0"/>
  </r>
  <r>
    <x v="154"/>
    <s v="10-A"/>
    <x v="1"/>
    <n v="71.099999999999994"/>
    <n v="100"/>
    <n v="41"/>
    <x v="0"/>
    <s v="No"/>
    <s v="Yes"/>
    <s v="Low"/>
    <x v="0"/>
    <x v="1"/>
    <x v="1"/>
  </r>
  <r>
    <x v="155"/>
    <s v="10-B"/>
    <x v="1"/>
    <n v="76.3"/>
    <n v="100"/>
    <n v="73"/>
    <x v="1"/>
    <s v="Yes"/>
    <s v="No"/>
    <s v="High"/>
    <x v="0"/>
    <x v="1"/>
    <x v="1"/>
  </r>
  <r>
    <x v="156"/>
    <s v="10-B"/>
    <x v="2"/>
    <n v="42.6"/>
    <n v="100"/>
    <n v="46"/>
    <x v="0"/>
    <s v="Yes"/>
    <s v="Yes"/>
    <s v="Medium"/>
    <x v="0"/>
    <x v="3"/>
    <x v="1"/>
  </r>
  <r>
    <x v="157"/>
    <s v="10-C"/>
    <x v="1"/>
    <n v="62.5"/>
    <n v="100"/>
    <n v="65"/>
    <x v="1"/>
    <s v="No"/>
    <s v="No"/>
    <s v="High"/>
    <x v="0"/>
    <x v="0"/>
    <x v="1"/>
  </r>
  <r>
    <x v="158"/>
    <s v="10-C"/>
    <x v="0"/>
    <n v="79.400000000000006"/>
    <n v="100"/>
    <n v="74"/>
    <x v="0"/>
    <s v="Yes"/>
    <s v="Yes"/>
    <s v="Low"/>
    <x v="0"/>
    <x v="1"/>
    <x v="1"/>
  </r>
  <r>
    <x v="159"/>
    <s v="10-B"/>
    <x v="2"/>
    <n v="78"/>
    <n v="100"/>
    <n v="40"/>
    <x v="1"/>
    <s v="No"/>
    <s v="No"/>
    <s v="High"/>
    <x v="0"/>
    <x v="1"/>
    <x v="1"/>
  </r>
  <r>
    <x v="160"/>
    <s v="10-C"/>
    <x v="0"/>
    <n v="76.400000000000006"/>
    <n v="100"/>
    <n v="94"/>
    <x v="1"/>
    <s v="No"/>
    <s v="Yes"/>
    <s v="Low"/>
    <x v="0"/>
    <x v="1"/>
    <x v="0"/>
  </r>
  <r>
    <x v="161"/>
    <s v="10-C"/>
    <x v="1"/>
    <n v="47.5"/>
    <n v="100"/>
    <n v="45"/>
    <x v="0"/>
    <s v="Yes"/>
    <s v="Yes"/>
    <s v="Medium"/>
    <x v="0"/>
    <x v="3"/>
    <x v="1"/>
  </r>
  <r>
    <x v="162"/>
    <s v="10-A"/>
    <x v="0"/>
    <n v="69.2"/>
    <n v="100"/>
    <n v="42"/>
    <x v="1"/>
    <s v="No"/>
    <s v="No"/>
    <s v="High"/>
    <x v="0"/>
    <x v="0"/>
    <x v="1"/>
  </r>
  <r>
    <x v="163"/>
    <s v="10-C"/>
    <x v="1"/>
    <n v="71.400000000000006"/>
    <n v="100"/>
    <n v="54"/>
    <x v="1"/>
    <s v="Yes"/>
    <s v="Yes"/>
    <s v="Low"/>
    <x v="0"/>
    <x v="1"/>
    <x v="1"/>
  </r>
  <r>
    <x v="164"/>
    <s v="10-B"/>
    <x v="2"/>
    <n v="81.5"/>
    <n v="100"/>
    <n v="95"/>
    <x v="1"/>
    <s v="Yes"/>
    <s v="No"/>
    <s v="High"/>
    <x v="0"/>
    <x v="1"/>
    <x v="0"/>
  </r>
  <r>
    <x v="165"/>
    <s v="10-B"/>
    <x v="1"/>
    <n v="48.4"/>
    <n v="100"/>
    <n v="44"/>
    <x v="1"/>
    <s v="No"/>
    <s v="Yes"/>
    <s v="Medium"/>
    <x v="0"/>
    <x v="3"/>
    <x v="1"/>
  </r>
  <r>
    <x v="166"/>
    <s v="10-A"/>
    <x v="1"/>
    <n v="66.099999999999994"/>
    <n v="100"/>
    <n v="51"/>
    <x v="0"/>
    <s v="Yes"/>
    <s v="No"/>
    <s v="High"/>
    <x v="0"/>
    <x v="0"/>
    <x v="1"/>
  </r>
  <r>
    <x v="167"/>
    <s v="10-A"/>
    <x v="1"/>
    <n v="72"/>
    <n v="100"/>
    <n v="70"/>
    <x v="1"/>
    <s v="Yes"/>
    <s v="Yes"/>
    <s v="Low"/>
    <x v="0"/>
    <x v="1"/>
    <x v="1"/>
  </r>
  <r>
    <x v="168"/>
    <s v="10-C"/>
    <x v="1"/>
    <n v="84.8"/>
    <n v="100"/>
    <n v="98"/>
    <x v="0"/>
    <s v="Yes"/>
    <s v="No"/>
    <s v="High"/>
    <x v="0"/>
    <x v="1"/>
    <x v="0"/>
  </r>
  <r>
    <x v="169"/>
    <s v="10-C"/>
    <x v="0"/>
    <n v="45.4"/>
    <n v="100"/>
    <n v="44"/>
    <x v="1"/>
    <s v="No"/>
    <s v="Yes"/>
    <s v="Medium"/>
    <x v="0"/>
    <x v="3"/>
    <x v="1"/>
  </r>
  <r>
    <x v="170"/>
    <s v="10-A"/>
    <x v="1"/>
    <n v="38.9"/>
    <n v="100"/>
    <n v="49"/>
    <x v="0"/>
    <s v="Yes"/>
    <s v="Yes"/>
    <s v="Medium"/>
    <x v="1"/>
    <x v="3"/>
    <x v="1"/>
  </r>
  <r>
    <x v="171"/>
    <s v="10-A"/>
    <x v="0"/>
    <n v="88.5"/>
    <n v="100"/>
    <n v="85"/>
    <x v="0"/>
    <s v="Yes"/>
    <s v="Yes"/>
    <s v="Low"/>
    <x v="0"/>
    <x v="2"/>
    <x v="0"/>
  </r>
  <r>
    <x v="172"/>
    <s v="10-A"/>
    <x v="0"/>
    <n v="82.5"/>
    <n v="100"/>
    <n v="45"/>
    <x v="0"/>
    <s v="Yes"/>
    <s v="No"/>
    <s v="High"/>
    <x v="0"/>
    <x v="1"/>
    <x v="1"/>
  </r>
  <r>
    <x v="173"/>
    <s v="10-B"/>
    <x v="2"/>
    <n v="48.3"/>
    <n v="100"/>
    <n v="53"/>
    <x v="0"/>
    <s v="Yes"/>
    <s v="Yes"/>
    <s v="Medium"/>
    <x v="0"/>
    <x v="3"/>
    <x v="1"/>
  </r>
  <r>
    <x v="174"/>
    <s v="10-B"/>
    <x v="0"/>
    <n v="60.7"/>
    <n v="100"/>
    <n v="57"/>
    <x v="1"/>
    <s v="No"/>
    <s v="Yes"/>
    <s v="Low"/>
    <x v="0"/>
    <x v="0"/>
    <x v="1"/>
  </r>
  <r>
    <x v="175"/>
    <s v="10-B"/>
    <x v="2"/>
    <n v="90"/>
    <n v="100"/>
    <n v="100"/>
    <x v="1"/>
    <s v="Yes"/>
    <s v="Yes"/>
    <s v="Low"/>
    <x v="0"/>
    <x v="2"/>
    <x v="0"/>
  </r>
  <r>
    <x v="176"/>
    <s v="10-B"/>
    <x v="0"/>
    <n v="70.099999999999994"/>
    <n v="100"/>
    <n v="41"/>
    <x v="0"/>
    <s v="Yes"/>
    <s v="No"/>
    <s v="High"/>
    <x v="0"/>
    <x v="1"/>
    <x v="1"/>
  </r>
  <r>
    <x v="177"/>
    <s v="10-B"/>
    <x v="2"/>
    <n v="83.4"/>
    <n v="100"/>
    <n v="54"/>
    <x v="0"/>
    <s v="No"/>
    <s v="Yes"/>
    <s v="Low"/>
    <x v="0"/>
    <x v="1"/>
    <x v="1"/>
  </r>
  <r>
    <x v="178"/>
    <s v="10-B"/>
    <x v="2"/>
    <n v="59.4"/>
    <n v="100"/>
    <n v="54"/>
    <x v="0"/>
    <s v="No"/>
    <s v="Yes"/>
    <s v="Low"/>
    <x v="0"/>
    <x v="0"/>
    <x v="1"/>
  </r>
  <r>
    <x v="179"/>
    <s v="10-C"/>
    <x v="0"/>
    <n v="64.3"/>
    <n v="100"/>
    <n v="53"/>
    <x v="1"/>
    <s v="Yes"/>
    <s v="Yes"/>
    <s v="Low"/>
    <x v="0"/>
    <x v="0"/>
    <x v="1"/>
  </r>
  <r>
    <x v="180"/>
    <s v="10-A"/>
    <x v="0"/>
    <n v="78.2"/>
    <n v="100"/>
    <n v="72"/>
    <x v="0"/>
    <s v="Yes"/>
    <s v="Yes"/>
    <s v="Low"/>
    <x v="0"/>
    <x v="1"/>
    <x v="1"/>
  </r>
  <r>
    <x v="181"/>
    <s v="10-C"/>
    <x v="1"/>
    <n v="69.7"/>
    <n v="100"/>
    <n v="97"/>
    <x v="1"/>
    <s v="Yes"/>
    <s v="Yes"/>
    <s v="Low"/>
    <x v="0"/>
    <x v="0"/>
    <x v="0"/>
  </r>
  <r>
    <x v="182"/>
    <s v="10-C"/>
    <x v="1"/>
    <n v="70.599999999999994"/>
    <n v="100"/>
    <n v="96"/>
    <x v="0"/>
    <s v="Yes"/>
    <s v="Yes"/>
    <s v="Low"/>
    <x v="0"/>
    <x v="1"/>
    <x v="0"/>
  </r>
  <r>
    <x v="183"/>
    <s v="10-B"/>
    <x v="2"/>
    <n v="78.7"/>
    <n v="100"/>
    <n v="67"/>
    <x v="0"/>
    <s v="Yes"/>
    <s v="No"/>
    <s v="High"/>
    <x v="0"/>
    <x v="1"/>
    <x v="1"/>
  </r>
  <r>
    <x v="184"/>
    <s v="10-C"/>
    <x v="0"/>
    <n v="51"/>
    <n v="100"/>
    <n v="90"/>
    <x v="0"/>
    <s v="No"/>
    <s v="No"/>
    <s v="High"/>
    <x v="0"/>
    <x v="0"/>
    <x v="0"/>
  </r>
  <r>
    <x v="185"/>
    <s v="10-A"/>
    <x v="1"/>
    <n v="54.5"/>
    <n v="100"/>
    <n v="85"/>
    <x v="0"/>
    <s v="Yes"/>
    <s v="Yes"/>
    <s v="Low"/>
    <x v="0"/>
    <x v="0"/>
    <x v="0"/>
  </r>
  <r>
    <x v="186"/>
    <s v="10-C"/>
    <x v="1"/>
    <n v="82.1"/>
    <n v="100"/>
    <n v="61"/>
    <x v="1"/>
    <s v="Yes"/>
    <s v="No"/>
    <s v="High"/>
    <x v="0"/>
    <x v="1"/>
    <x v="1"/>
  </r>
  <r>
    <x v="187"/>
    <s v="10-A"/>
    <x v="2"/>
    <n v="79.099999999999994"/>
    <n v="100"/>
    <n v="41"/>
    <x v="1"/>
    <s v="No"/>
    <s v="Yes"/>
    <s v="Low"/>
    <x v="0"/>
    <x v="1"/>
    <x v="1"/>
  </r>
  <r>
    <x v="188"/>
    <s v="10-C"/>
    <x v="0"/>
    <n v="42.6"/>
    <n v="100"/>
    <n v="76"/>
    <x v="0"/>
    <s v="Yes"/>
    <s v="Yes"/>
    <s v="Medium"/>
    <x v="0"/>
    <x v="3"/>
    <x v="2"/>
  </r>
  <r>
    <x v="189"/>
    <s v="10-A"/>
    <x v="0"/>
    <n v="74.3"/>
    <n v="100"/>
    <n v="83"/>
    <x v="0"/>
    <s v="Yes"/>
    <s v="Yes"/>
    <s v="Low"/>
    <x v="0"/>
    <x v="1"/>
    <x v="2"/>
  </r>
  <r>
    <x v="190"/>
    <s v="10-C"/>
    <x v="0"/>
    <n v="77.400000000000006"/>
    <n v="100"/>
    <n v="74"/>
    <x v="1"/>
    <s v="No"/>
    <s v="Yes"/>
    <s v="Low"/>
    <x v="0"/>
    <x v="1"/>
    <x v="1"/>
  </r>
  <r>
    <x v="191"/>
    <s v="10-C"/>
    <x v="1"/>
    <n v="72.5"/>
    <n v="100"/>
    <n v="65"/>
    <x v="1"/>
    <s v="Yes"/>
    <s v="Yes"/>
    <s v="Low"/>
    <x v="0"/>
    <x v="1"/>
    <x v="1"/>
  </r>
  <r>
    <x v="192"/>
    <s v="10-C"/>
    <x v="2"/>
    <n v="63.7"/>
    <n v="100"/>
    <n v="47"/>
    <x v="1"/>
    <s v="Yes"/>
    <s v="No"/>
    <s v="High"/>
    <x v="0"/>
    <x v="0"/>
    <x v="1"/>
  </r>
  <r>
    <x v="193"/>
    <s v="10-C"/>
    <x v="1"/>
    <n v="37.700000000000003"/>
    <n v="100"/>
    <n v="67"/>
    <x v="1"/>
    <s v="Yes"/>
    <s v="Yes"/>
    <s v="Medium"/>
    <x v="1"/>
    <x v="3"/>
    <x v="1"/>
  </r>
  <r>
    <x v="194"/>
    <s v="10-C"/>
    <x v="0"/>
    <n v="61.7"/>
    <n v="100"/>
    <n v="57"/>
    <x v="0"/>
    <s v="Yes"/>
    <s v="No"/>
    <s v="High"/>
    <x v="0"/>
    <x v="0"/>
    <x v="1"/>
  </r>
  <r>
    <x v="195"/>
    <s v="10-C"/>
    <x v="2"/>
    <n v="43"/>
    <n v="100"/>
    <n v="50"/>
    <x v="0"/>
    <s v="No"/>
    <s v="Yes"/>
    <s v="Medium"/>
    <x v="0"/>
    <x v="3"/>
    <x v="1"/>
  </r>
  <r>
    <x v="196"/>
    <s v="10-A"/>
    <x v="2"/>
    <n v="66.5"/>
    <n v="100"/>
    <n v="55"/>
    <x v="1"/>
    <s v="Yes"/>
    <s v="No"/>
    <s v="High"/>
    <x v="0"/>
    <x v="0"/>
    <x v="1"/>
  </r>
  <r>
    <x v="197"/>
    <s v="10-C"/>
    <x v="0"/>
    <n v="53.7"/>
    <n v="100"/>
    <n v="57"/>
    <x v="0"/>
    <s v="No"/>
    <s v="Yes"/>
    <s v="Low"/>
    <x v="0"/>
    <x v="0"/>
    <x v="1"/>
  </r>
  <r>
    <x v="198"/>
    <s v="10-A"/>
    <x v="0"/>
    <n v="73.599999999999994"/>
    <n v="100"/>
    <n v="56"/>
    <x v="0"/>
    <s v="Yes"/>
    <s v="Yes"/>
    <s v="Low"/>
    <x v="0"/>
    <x v="1"/>
    <x v="1"/>
  </r>
  <r>
    <x v="199"/>
    <s v="10-B"/>
    <x v="1"/>
    <n v="45.3"/>
    <n v="100"/>
    <n v="43"/>
    <x v="1"/>
    <s v="No"/>
    <s v="Yes"/>
    <s v="Medium"/>
    <x v="0"/>
    <x v="3"/>
    <x v="1"/>
  </r>
  <r>
    <x v="200"/>
    <s v="10-C"/>
    <x v="0"/>
    <n v="64.7"/>
    <n v="100"/>
    <n v="87"/>
    <x v="0"/>
    <s v="No"/>
    <s v="Yes"/>
    <s v="Low"/>
    <x v="0"/>
    <x v="0"/>
    <x v="0"/>
  </r>
  <r>
    <x v="201"/>
    <s v="10-B"/>
    <x v="2"/>
    <n v="43.5"/>
    <n v="100"/>
    <n v="55"/>
    <x v="0"/>
    <s v="Yes"/>
    <s v="Yes"/>
    <s v="Medium"/>
    <x v="0"/>
    <x v="3"/>
    <x v="1"/>
  </r>
  <r>
    <x v="202"/>
    <s v="10-A"/>
    <x v="1"/>
    <n v="63.3"/>
    <n v="100"/>
    <n v="93"/>
    <x v="0"/>
    <s v="Yes"/>
    <s v="Yes"/>
    <s v="Low"/>
    <x v="0"/>
    <x v="0"/>
    <x v="0"/>
  </r>
  <r>
    <x v="203"/>
    <s v="10-A"/>
    <x v="2"/>
    <n v="81.400000000000006"/>
    <n v="100"/>
    <n v="94"/>
    <x v="1"/>
    <s v="Yes"/>
    <s v="Yes"/>
    <s v="Low"/>
    <x v="0"/>
    <x v="1"/>
    <x v="0"/>
  </r>
  <r>
    <x v="204"/>
    <s v="10-A"/>
    <x v="1"/>
    <n v="39.4"/>
    <n v="100"/>
    <n v="64"/>
    <x v="1"/>
    <s v="Yes"/>
    <s v="No"/>
    <s v="Critical"/>
    <x v="1"/>
    <x v="3"/>
    <x v="1"/>
  </r>
  <r>
    <x v="205"/>
    <s v="10-A"/>
    <x v="1"/>
    <n v="43.5"/>
    <n v="100"/>
    <n v="75"/>
    <x v="1"/>
    <s v="No"/>
    <s v="No"/>
    <s v="Critical"/>
    <x v="0"/>
    <x v="3"/>
    <x v="2"/>
  </r>
  <r>
    <x v="206"/>
    <s v="10-B"/>
    <x v="1"/>
    <n v="66"/>
    <n v="100"/>
    <n v="40"/>
    <x v="0"/>
    <s v="No"/>
    <s v="Yes"/>
    <s v="Low"/>
    <x v="0"/>
    <x v="0"/>
    <x v="1"/>
  </r>
  <r>
    <x v="207"/>
    <s v="10-C"/>
    <x v="2"/>
    <n v="83.1"/>
    <n v="100"/>
    <n v="51"/>
    <x v="1"/>
    <s v="Yes"/>
    <s v="Yes"/>
    <s v="Low"/>
    <x v="0"/>
    <x v="1"/>
    <x v="1"/>
  </r>
  <r>
    <x v="208"/>
    <s v="10-A"/>
    <x v="1"/>
    <n v="86.9"/>
    <n v="100"/>
    <n v="69"/>
    <x v="1"/>
    <s v="Yes"/>
    <s v="Yes"/>
    <s v="Low"/>
    <x v="0"/>
    <x v="2"/>
    <x v="1"/>
  </r>
  <r>
    <x v="209"/>
    <s v="10-A"/>
    <x v="1"/>
    <n v="81.099999999999994"/>
    <n v="100"/>
    <n v="51"/>
    <x v="0"/>
    <s v="Yes"/>
    <s v="Yes"/>
    <s v="Low"/>
    <x v="0"/>
    <x v="1"/>
    <x v="1"/>
  </r>
  <r>
    <x v="210"/>
    <s v="10-B"/>
    <x v="0"/>
    <n v="54.3"/>
    <n v="100"/>
    <n v="63"/>
    <x v="1"/>
    <s v="No"/>
    <s v="No"/>
    <s v="High"/>
    <x v="0"/>
    <x v="0"/>
    <x v="1"/>
  </r>
  <r>
    <x v="211"/>
    <s v="10-A"/>
    <x v="2"/>
    <n v="43.5"/>
    <n v="100"/>
    <n v="95"/>
    <x v="0"/>
    <s v="Yes"/>
    <s v="Yes"/>
    <s v="Medium"/>
    <x v="0"/>
    <x v="3"/>
    <x v="0"/>
  </r>
  <r>
    <x v="212"/>
    <s v="10-C"/>
    <x v="2"/>
    <n v="59.1"/>
    <n v="100"/>
    <n v="61"/>
    <x v="1"/>
    <s v="Yes"/>
    <s v="Yes"/>
    <s v="Low"/>
    <x v="0"/>
    <x v="0"/>
    <x v="1"/>
  </r>
  <r>
    <x v="213"/>
    <s v="10-C"/>
    <x v="2"/>
    <n v="65.099999999999994"/>
    <n v="100"/>
    <n v="41"/>
    <x v="0"/>
    <s v="No"/>
    <s v="No"/>
    <s v="High"/>
    <x v="0"/>
    <x v="0"/>
    <x v="1"/>
  </r>
  <r>
    <x v="214"/>
    <s v="10-A"/>
    <x v="2"/>
    <n v="55.7"/>
    <n v="100"/>
    <n v="47"/>
    <x v="0"/>
    <s v="No"/>
    <s v="Yes"/>
    <s v="Low"/>
    <x v="0"/>
    <x v="0"/>
    <x v="1"/>
  </r>
  <r>
    <x v="215"/>
    <s v="10-C"/>
    <x v="1"/>
    <n v="80.099999999999994"/>
    <n v="100"/>
    <n v="91"/>
    <x v="1"/>
    <s v="Yes"/>
    <s v="Yes"/>
    <s v="Low"/>
    <x v="0"/>
    <x v="1"/>
    <x v="0"/>
  </r>
  <r>
    <x v="216"/>
    <s v="10-C"/>
    <x v="0"/>
    <n v="58.2"/>
    <n v="100"/>
    <n v="62"/>
    <x v="0"/>
    <s v="Yes"/>
    <s v="Yes"/>
    <s v="Low"/>
    <x v="0"/>
    <x v="0"/>
    <x v="1"/>
  </r>
  <r>
    <x v="217"/>
    <s v="10-A"/>
    <x v="0"/>
    <n v="67.8"/>
    <n v="100"/>
    <n v="68"/>
    <x v="1"/>
    <s v="Yes"/>
    <s v="Yes"/>
    <s v="Low"/>
    <x v="0"/>
    <x v="0"/>
    <x v="1"/>
  </r>
  <r>
    <x v="218"/>
    <s v="10-B"/>
    <x v="1"/>
    <n v="87.5"/>
    <n v="100"/>
    <n v="75"/>
    <x v="1"/>
    <s v="Yes"/>
    <s v="Yes"/>
    <s v="Low"/>
    <x v="0"/>
    <x v="2"/>
    <x v="2"/>
  </r>
  <r>
    <x v="219"/>
    <s v="10-B"/>
    <x v="1"/>
    <n v="82.9"/>
    <n v="100"/>
    <n v="89"/>
    <x v="1"/>
    <s v="Yes"/>
    <s v="Yes"/>
    <s v="Low"/>
    <x v="0"/>
    <x v="1"/>
    <x v="0"/>
  </r>
  <r>
    <x v="220"/>
    <s v="10-B"/>
    <x v="0"/>
    <n v="71.2"/>
    <n v="100"/>
    <n v="82"/>
    <x v="1"/>
    <s v="Yes"/>
    <s v="Yes"/>
    <s v="Low"/>
    <x v="0"/>
    <x v="1"/>
    <x v="2"/>
  </r>
  <r>
    <x v="221"/>
    <s v="10-C"/>
    <x v="2"/>
    <n v="85.8"/>
    <n v="100"/>
    <n v="98"/>
    <x v="0"/>
    <s v="Yes"/>
    <s v="Yes"/>
    <s v="Low"/>
    <x v="0"/>
    <x v="2"/>
    <x v="0"/>
  </r>
  <r>
    <x v="222"/>
    <s v="10-C"/>
    <x v="1"/>
    <n v="71"/>
    <n v="100"/>
    <n v="80"/>
    <x v="0"/>
    <s v="No"/>
    <s v="Yes"/>
    <s v="Low"/>
    <x v="0"/>
    <x v="1"/>
    <x v="2"/>
  </r>
  <r>
    <x v="223"/>
    <s v="10-A"/>
    <x v="1"/>
    <n v="52.2"/>
    <n v="100"/>
    <n v="92"/>
    <x v="1"/>
    <s v="Yes"/>
    <s v="Yes"/>
    <s v="Low"/>
    <x v="0"/>
    <x v="0"/>
    <x v="0"/>
  </r>
  <r>
    <x v="224"/>
    <s v="10-B"/>
    <x v="2"/>
    <n v="57.4"/>
    <n v="100"/>
    <n v="74"/>
    <x v="1"/>
    <s v="Yes"/>
    <s v="Yes"/>
    <s v="Low"/>
    <x v="0"/>
    <x v="0"/>
    <x v="1"/>
  </r>
  <r>
    <x v="225"/>
    <s v="10-C"/>
    <x v="0"/>
    <n v="87.7"/>
    <n v="100"/>
    <n v="77"/>
    <x v="0"/>
    <s v="No"/>
    <s v="No"/>
    <s v="High"/>
    <x v="0"/>
    <x v="2"/>
    <x v="2"/>
  </r>
  <r>
    <x v="226"/>
    <s v="10-C"/>
    <x v="2"/>
    <n v="43.1"/>
    <n v="100"/>
    <n v="51"/>
    <x v="0"/>
    <s v="Yes"/>
    <s v="Yes"/>
    <s v="Medium"/>
    <x v="0"/>
    <x v="3"/>
    <x v="1"/>
  </r>
  <r>
    <x v="227"/>
    <s v="10-A"/>
    <x v="0"/>
    <n v="52"/>
    <n v="100"/>
    <n v="70"/>
    <x v="0"/>
    <s v="No"/>
    <s v="Yes"/>
    <s v="Low"/>
    <x v="0"/>
    <x v="0"/>
    <x v="1"/>
  </r>
  <r>
    <x v="228"/>
    <s v="10-A"/>
    <x v="2"/>
    <n v="82.8"/>
    <n v="100"/>
    <n v="58"/>
    <x v="0"/>
    <s v="No"/>
    <s v="No"/>
    <s v="High"/>
    <x v="0"/>
    <x v="1"/>
    <x v="1"/>
  </r>
  <r>
    <x v="229"/>
    <s v="10-A"/>
    <x v="2"/>
    <n v="41.3"/>
    <n v="100"/>
    <n v="73"/>
    <x v="1"/>
    <s v="Yes"/>
    <s v="Yes"/>
    <s v="Medium"/>
    <x v="0"/>
    <x v="3"/>
    <x v="1"/>
  </r>
  <r>
    <x v="230"/>
    <s v="10-B"/>
    <x v="1"/>
    <n v="45.8"/>
    <n v="100"/>
    <n v="48"/>
    <x v="1"/>
    <s v="Yes"/>
    <s v="No"/>
    <s v="Critical"/>
    <x v="0"/>
    <x v="3"/>
    <x v="1"/>
  </r>
  <r>
    <x v="231"/>
    <s v="10-C"/>
    <x v="1"/>
    <n v="67.3"/>
    <n v="100"/>
    <n v="53"/>
    <x v="1"/>
    <s v="Yes"/>
    <s v="Yes"/>
    <s v="Low"/>
    <x v="0"/>
    <x v="0"/>
    <x v="1"/>
  </r>
  <r>
    <x v="232"/>
    <s v="10-C"/>
    <x v="2"/>
    <n v="49.2"/>
    <n v="100"/>
    <n v="82"/>
    <x v="0"/>
    <s v="Yes"/>
    <s v="Yes"/>
    <s v="Medium"/>
    <x v="0"/>
    <x v="3"/>
    <x v="2"/>
  </r>
  <r>
    <x v="233"/>
    <s v="10-C"/>
    <x v="1"/>
    <n v="81.599999999999994"/>
    <n v="100"/>
    <n v="46"/>
    <x v="1"/>
    <s v="Yes"/>
    <s v="No"/>
    <s v="High"/>
    <x v="0"/>
    <x v="1"/>
    <x v="1"/>
  </r>
  <r>
    <x v="234"/>
    <s v="10-A"/>
    <x v="2"/>
    <n v="70.8"/>
    <n v="100"/>
    <n v="98"/>
    <x v="1"/>
    <s v="Yes"/>
    <s v="Yes"/>
    <s v="Low"/>
    <x v="0"/>
    <x v="1"/>
    <x v="0"/>
  </r>
  <r>
    <x v="235"/>
    <s v="10-C"/>
    <x v="2"/>
    <n v="81.8"/>
    <n v="100"/>
    <n v="68"/>
    <x v="1"/>
    <s v="No"/>
    <s v="Yes"/>
    <s v="Low"/>
    <x v="0"/>
    <x v="1"/>
    <x v="1"/>
  </r>
  <r>
    <x v="236"/>
    <s v="10-A"/>
    <x v="0"/>
    <n v="58.1"/>
    <n v="100"/>
    <n v="81"/>
    <x v="1"/>
    <s v="No"/>
    <s v="Yes"/>
    <s v="Low"/>
    <x v="0"/>
    <x v="0"/>
    <x v="2"/>
  </r>
  <r>
    <x v="237"/>
    <s v="10-B"/>
    <x v="0"/>
    <n v="68.2"/>
    <n v="100"/>
    <n v="72"/>
    <x v="1"/>
    <s v="Yes"/>
    <s v="Yes"/>
    <s v="Low"/>
    <x v="0"/>
    <x v="0"/>
    <x v="1"/>
  </r>
  <r>
    <x v="238"/>
    <s v="10-A"/>
    <x v="0"/>
    <n v="50.3"/>
    <n v="100"/>
    <n v="63"/>
    <x v="1"/>
    <s v="No"/>
    <s v="Yes"/>
    <s v="Low"/>
    <x v="0"/>
    <x v="0"/>
    <x v="1"/>
  </r>
  <r>
    <x v="239"/>
    <s v="10-C"/>
    <x v="1"/>
    <n v="79.900000000000006"/>
    <n v="100"/>
    <n v="69"/>
    <x v="1"/>
    <s v="Yes"/>
    <s v="Yes"/>
    <s v="Low"/>
    <x v="0"/>
    <x v="1"/>
    <x v="1"/>
  </r>
  <r>
    <x v="240"/>
    <s v="10-A"/>
    <x v="2"/>
    <n v="58.7"/>
    <n v="100"/>
    <n v="97"/>
    <x v="1"/>
    <s v="Yes"/>
    <s v="Yes"/>
    <s v="Low"/>
    <x v="0"/>
    <x v="0"/>
    <x v="0"/>
  </r>
  <r>
    <x v="241"/>
    <s v="10-A"/>
    <x v="0"/>
    <n v="73"/>
    <n v="100"/>
    <n v="80"/>
    <x v="1"/>
    <s v="Yes"/>
    <s v="Yes"/>
    <s v="Low"/>
    <x v="0"/>
    <x v="1"/>
    <x v="2"/>
  </r>
  <r>
    <x v="242"/>
    <s v="10-A"/>
    <x v="1"/>
    <n v="51.4"/>
    <n v="100"/>
    <n v="94"/>
    <x v="1"/>
    <s v="No"/>
    <s v="No"/>
    <s v="High"/>
    <x v="0"/>
    <x v="0"/>
    <x v="0"/>
  </r>
  <r>
    <x v="243"/>
    <s v="10-C"/>
    <x v="2"/>
    <n v="47"/>
    <n v="100"/>
    <n v="80"/>
    <x v="0"/>
    <s v="Yes"/>
    <s v="Yes"/>
    <s v="Medium"/>
    <x v="0"/>
    <x v="3"/>
    <x v="2"/>
  </r>
  <r>
    <x v="244"/>
    <s v="10-B"/>
    <x v="1"/>
    <n v="73.900000000000006"/>
    <n v="100"/>
    <n v="49"/>
    <x v="1"/>
    <s v="No"/>
    <s v="Yes"/>
    <s v="Low"/>
    <x v="0"/>
    <x v="1"/>
    <x v="1"/>
  </r>
  <r>
    <x v="245"/>
    <s v="10-B"/>
    <x v="2"/>
    <n v="54.8"/>
    <n v="100"/>
    <n v="48"/>
    <x v="0"/>
    <s v="Yes"/>
    <s v="Yes"/>
    <s v="Low"/>
    <x v="0"/>
    <x v="0"/>
    <x v="1"/>
  </r>
  <r>
    <x v="246"/>
    <s v="10-A"/>
    <x v="2"/>
    <n v="53.3"/>
    <n v="100"/>
    <n v="43"/>
    <x v="0"/>
    <s v="Yes"/>
    <s v="Yes"/>
    <s v="Low"/>
    <x v="0"/>
    <x v="0"/>
    <x v="1"/>
  </r>
  <r>
    <x v="247"/>
    <s v="10-B"/>
    <x v="0"/>
    <n v="75.5"/>
    <n v="100"/>
    <n v="55"/>
    <x v="1"/>
    <s v="Yes"/>
    <s v="No"/>
    <s v="High"/>
    <x v="0"/>
    <x v="1"/>
    <x v="1"/>
  </r>
  <r>
    <x v="248"/>
    <s v="10-C"/>
    <x v="2"/>
    <n v="85.7"/>
    <n v="100"/>
    <n v="87"/>
    <x v="1"/>
    <s v="Yes"/>
    <s v="Yes"/>
    <s v="Low"/>
    <x v="0"/>
    <x v="2"/>
    <x v="0"/>
  </r>
  <r>
    <x v="249"/>
    <s v="10-A"/>
    <x v="2"/>
    <n v="51.3"/>
    <n v="100"/>
    <n v="43"/>
    <x v="1"/>
    <s v="Yes"/>
    <s v="Yes"/>
    <s v="Low"/>
    <x v="0"/>
    <x v="0"/>
    <x v="1"/>
  </r>
  <r>
    <x v="250"/>
    <s v="10-C"/>
    <x v="2"/>
    <n v="47"/>
    <n v="100"/>
    <n v="80"/>
    <x v="1"/>
    <s v="Yes"/>
    <s v="No"/>
    <s v="Critical"/>
    <x v="0"/>
    <x v="3"/>
    <x v="2"/>
  </r>
  <r>
    <x v="251"/>
    <s v="10-A"/>
    <x v="0"/>
    <n v="81.7"/>
    <n v="100"/>
    <n v="47"/>
    <x v="1"/>
    <s v="No"/>
    <s v="Yes"/>
    <s v="Low"/>
    <x v="0"/>
    <x v="1"/>
    <x v="1"/>
  </r>
  <r>
    <x v="252"/>
    <s v="10-C"/>
    <x v="0"/>
    <n v="65"/>
    <n v="100"/>
    <n v="100"/>
    <x v="0"/>
    <s v="No"/>
    <s v="No"/>
    <s v="High"/>
    <x v="0"/>
    <x v="0"/>
    <x v="0"/>
  </r>
  <r>
    <x v="253"/>
    <s v="10-C"/>
    <x v="2"/>
    <n v="71.400000000000006"/>
    <n v="100"/>
    <n v="84"/>
    <x v="0"/>
    <s v="Yes"/>
    <s v="No"/>
    <s v="High"/>
    <x v="0"/>
    <x v="1"/>
    <x v="2"/>
  </r>
  <r>
    <x v="254"/>
    <s v="10-A"/>
    <x v="2"/>
    <n v="62.6"/>
    <n v="100"/>
    <n v="76"/>
    <x v="0"/>
    <s v="No"/>
    <s v="Yes"/>
    <s v="Low"/>
    <x v="0"/>
    <x v="0"/>
    <x v="2"/>
  </r>
  <r>
    <x v="255"/>
    <s v="10-C"/>
    <x v="1"/>
    <n v="41.8"/>
    <n v="100"/>
    <n v="88"/>
    <x v="1"/>
    <s v="Yes"/>
    <s v="No"/>
    <s v="Critical"/>
    <x v="0"/>
    <x v="3"/>
    <x v="0"/>
  </r>
  <r>
    <x v="256"/>
    <s v="10-C"/>
    <x v="0"/>
    <n v="57.2"/>
    <n v="100"/>
    <n v="82"/>
    <x v="1"/>
    <s v="Yes"/>
    <s v="Yes"/>
    <s v="Low"/>
    <x v="0"/>
    <x v="0"/>
    <x v="2"/>
  </r>
  <r>
    <x v="257"/>
    <s v="10-B"/>
    <x v="1"/>
    <n v="69.3"/>
    <n v="100"/>
    <n v="53"/>
    <x v="1"/>
    <s v="Yes"/>
    <s v="No"/>
    <s v="High"/>
    <x v="0"/>
    <x v="0"/>
    <x v="1"/>
  </r>
  <r>
    <x v="258"/>
    <s v="10-C"/>
    <x v="2"/>
    <n v="60.6"/>
    <n v="100"/>
    <n v="76"/>
    <x v="0"/>
    <s v="Yes"/>
    <s v="No"/>
    <s v="High"/>
    <x v="0"/>
    <x v="0"/>
    <x v="2"/>
  </r>
  <r>
    <x v="259"/>
    <s v="10-C"/>
    <x v="2"/>
    <n v="40.9"/>
    <n v="100"/>
    <n v="69"/>
    <x v="0"/>
    <s v="Yes"/>
    <s v="Yes"/>
    <s v="Medium"/>
    <x v="0"/>
    <x v="3"/>
    <x v="1"/>
  </r>
  <r>
    <x v="260"/>
    <s v="10-C"/>
    <x v="1"/>
    <n v="40.5"/>
    <n v="100"/>
    <n v="45"/>
    <x v="0"/>
    <s v="Yes"/>
    <s v="Yes"/>
    <s v="Medium"/>
    <x v="0"/>
    <x v="3"/>
    <x v="1"/>
  </r>
  <r>
    <x v="261"/>
    <s v="10-A"/>
    <x v="1"/>
    <n v="79.7"/>
    <n v="100"/>
    <n v="97"/>
    <x v="0"/>
    <s v="No"/>
    <s v="Yes"/>
    <s v="Low"/>
    <x v="0"/>
    <x v="1"/>
    <x v="0"/>
  </r>
  <r>
    <x v="262"/>
    <s v="10-A"/>
    <x v="0"/>
    <n v="62"/>
    <n v="100"/>
    <n v="60"/>
    <x v="0"/>
    <s v="No"/>
    <s v="Yes"/>
    <s v="Low"/>
    <x v="0"/>
    <x v="0"/>
    <x v="1"/>
  </r>
  <r>
    <x v="263"/>
    <s v="10-A"/>
    <x v="1"/>
    <n v="70.7"/>
    <n v="100"/>
    <n v="57"/>
    <x v="1"/>
    <s v="No"/>
    <s v="Yes"/>
    <s v="Low"/>
    <x v="0"/>
    <x v="1"/>
    <x v="1"/>
  </r>
  <r>
    <x v="264"/>
    <s v="10-A"/>
    <x v="2"/>
    <n v="75.2"/>
    <n v="100"/>
    <n v="42"/>
    <x v="1"/>
    <s v="Yes"/>
    <s v="Yes"/>
    <s v="Low"/>
    <x v="0"/>
    <x v="1"/>
    <x v="1"/>
  </r>
  <r>
    <x v="265"/>
    <s v="10-A"/>
    <x v="0"/>
    <n v="51"/>
    <n v="100"/>
    <n v="60"/>
    <x v="0"/>
    <s v="Yes"/>
    <s v="Yes"/>
    <s v="Low"/>
    <x v="0"/>
    <x v="0"/>
    <x v="1"/>
  </r>
  <r>
    <x v="266"/>
    <s v="10-A"/>
    <x v="2"/>
    <n v="84.9"/>
    <n v="100"/>
    <n v="79"/>
    <x v="1"/>
    <s v="Yes"/>
    <s v="Yes"/>
    <s v="Low"/>
    <x v="0"/>
    <x v="1"/>
    <x v="2"/>
  </r>
  <r>
    <x v="267"/>
    <s v="10-B"/>
    <x v="0"/>
    <n v="58.1"/>
    <n v="100"/>
    <n v="71"/>
    <x v="0"/>
    <s v="Yes"/>
    <s v="Yes"/>
    <s v="Low"/>
    <x v="0"/>
    <x v="0"/>
    <x v="1"/>
  </r>
  <r>
    <x v="268"/>
    <s v="10-B"/>
    <x v="1"/>
    <n v="72.5"/>
    <n v="100"/>
    <n v="85"/>
    <x v="0"/>
    <s v="Yes"/>
    <s v="Yes"/>
    <s v="Low"/>
    <x v="0"/>
    <x v="1"/>
    <x v="0"/>
  </r>
  <r>
    <x v="269"/>
    <s v="10-B"/>
    <x v="0"/>
    <n v="48.9"/>
    <n v="100"/>
    <n v="59"/>
    <x v="0"/>
    <s v="Yes"/>
    <s v="No"/>
    <s v="Critical"/>
    <x v="0"/>
    <x v="3"/>
    <x v="1"/>
  </r>
  <r>
    <x v="270"/>
    <s v="10-B"/>
    <x v="1"/>
    <n v="39.6"/>
    <n v="100"/>
    <n v="96"/>
    <x v="1"/>
    <s v="No"/>
    <s v="Yes"/>
    <s v="Medium"/>
    <x v="1"/>
    <x v="3"/>
    <x v="0"/>
  </r>
  <r>
    <x v="271"/>
    <s v="10-B"/>
    <x v="2"/>
    <n v="77.3"/>
    <n v="100"/>
    <n v="93"/>
    <x v="0"/>
    <s v="No"/>
    <s v="Yes"/>
    <s v="Low"/>
    <x v="0"/>
    <x v="1"/>
    <x v="0"/>
  </r>
  <r>
    <x v="272"/>
    <s v="10-B"/>
    <x v="1"/>
    <n v="44.5"/>
    <n v="100"/>
    <n v="45"/>
    <x v="1"/>
    <s v="Yes"/>
    <s v="Yes"/>
    <s v="Medium"/>
    <x v="0"/>
    <x v="3"/>
    <x v="1"/>
  </r>
  <r>
    <x v="273"/>
    <s v="10-A"/>
    <x v="2"/>
    <n v="81.900000000000006"/>
    <n v="100"/>
    <n v="59"/>
    <x v="0"/>
    <s v="Yes"/>
    <s v="No"/>
    <s v="High"/>
    <x v="0"/>
    <x v="1"/>
    <x v="1"/>
  </r>
  <r>
    <x v="274"/>
    <s v="10-B"/>
    <x v="2"/>
    <n v="80"/>
    <n v="100"/>
    <n v="50"/>
    <x v="0"/>
    <s v="Yes"/>
    <s v="No"/>
    <s v="High"/>
    <x v="0"/>
    <x v="1"/>
    <x v="1"/>
  </r>
  <r>
    <x v="275"/>
    <s v="10-C"/>
    <x v="0"/>
    <n v="61.9"/>
    <n v="100"/>
    <n v="79"/>
    <x v="1"/>
    <s v="Yes"/>
    <s v="Yes"/>
    <s v="Low"/>
    <x v="0"/>
    <x v="0"/>
    <x v="2"/>
  </r>
  <r>
    <x v="276"/>
    <s v="10-A"/>
    <x v="2"/>
    <n v="50.2"/>
    <n v="100"/>
    <n v="92"/>
    <x v="1"/>
    <s v="Yes"/>
    <s v="Yes"/>
    <s v="Low"/>
    <x v="0"/>
    <x v="0"/>
    <x v="0"/>
  </r>
  <r>
    <x v="277"/>
    <s v="10-A"/>
    <x v="1"/>
    <n v="47.8"/>
    <n v="100"/>
    <n v="58"/>
    <x v="1"/>
    <s v="Yes"/>
    <s v="No"/>
    <s v="Critical"/>
    <x v="0"/>
    <x v="3"/>
    <x v="1"/>
  </r>
  <r>
    <x v="278"/>
    <s v="10-B"/>
    <x v="1"/>
    <n v="61.2"/>
    <n v="100"/>
    <n v="82"/>
    <x v="1"/>
    <s v="Yes"/>
    <s v="No"/>
    <s v="High"/>
    <x v="0"/>
    <x v="0"/>
    <x v="2"/>
  </r>
  <r>
    <x v="279"/>
    <s v="10-B"/>
    <x v="0"/>
    <n v="76.2"/>
    <n v="100"/>
    <n v="42"/>
    <x v="1"/>
    <s v="No"/>
    <s v="No"/>
    <s v="High"/>
    <x v="0"/>
    <x v="1"/>
    <x v="1"/>
  </r>
  <r>
    <x v="280"/>
    <s v="10-C"/>
    <x v="1"/>
    <n v="69.2"/>
    <n v="100"/>
    <n v="62"/>
    <x v="0"/>
    <s v="No"/>
    <s v="No"/>
    <s v="High"/>
    <x v="0"/>
    <x v="0"/>
    <x v="1"/>
  </r>
  <r>
    <x v="281"/>
    <s v="10-B"/>
    <x v="2"/>
    <n v="71.900000000000006"/>
    <n v="100"/>
    <n v="69"/>
    <x v="1"/>
    <s v="Yes"/>
    <s v="Yes"/>
    <s v="Low"/>
    <x v="0"/>
    <x v="1"/>
    <x v="1"/>
  </r>
  <r>
    <x v="282"/>
    <s v="10-C"/>
    <x v="2"/>
    <n v="77.3"/>
    <n v="100"/>
    <n v="63"/>
    <x v="1"/>
    <s v="Yes"/>
    <s v="Yes"/>
    <s v="Low"/>
    <x v="0"/>
    <x v="1"/>
    <x v="1"/>
  </r>
  <r>
    <x v="283"/>
    <s v="10-A"/>
    <x v="1"/>
    <n v="70.3"/>
    <n v="100"/>
    <n v="53"/>
    <x v="1"/>
    <s v="No"/>
    <s v="No"/>
    <s v="High"/>
    <x v="0"/>
    <x v="1"/>
    <x v="1"/>
  </r>
  <r>
    <x v="284"/>
    <s v="10-C"/>
    <x v="0"/>
    <n v="35.4"/>
    <n v="100"/>
    <n v="44"/>
    <x v="1"/>
    <s v="Yes"/>
    <s v="Yes"/>
    <s v="Medium"/>
    <x v="1"/>
    <x v="3"/>
    <x v="1"/>
  </r>
  <r>
    <x v="285"/>
    <s v="10-B"/>
    <x v="0"/>
    <n v="51.9"/>
    <n v="100"/>
    <n v="69"/>
    <x v="0"/>
    <s v="Yes"/>
    <s v="Yes"/>
    <s v="Low"/>
    <x v="0"/>
    <x v="0"/>
    <x v="1"/>
  </r>
  <r>
    <x v="286"/>
    <s v="10-B"/>
    <x v="1"/>
    <n v="75.900000000000006"/>
    <n v="100"/>
    <n v="89"/>
    <x v="1"/>
    <s v="No"/>
    <s v="Yes"/>
    <s v="Low"/>
    <x v="0"/>
    <x v="1"/>
    <x v="0"/>
  </r>
  <r>
    <x v="287"/>
    <s v="10-A"/>
    <x v="2"/>
    <n v="40.9"/>
    <n v="100"/>
    <n v="99"/>
    <x v="0"/>
    <s v="Yes"/>
    <s v="No"/>
    <s v="Critical"/>
    <x v="0"/>
    <x v="3"/>
    <x v="0"/>
  </r>
  <r>
    <x v="288"/>
    <s v="10-A"/>
    <x v="0"/>
    <n v="55"/>
    <n v="100"/>
    <n v="90"/>
    <x v="1"/>
    <s v="No"/>
    <s v="Yes"/>
    <s v="Low"/>
    <x v="0"/>
    <x v="0"/>
    <x v="0"/>
  </r>
  <r>
    <x v="289"/>
    <s v="10-B"/>
    <x v="2"/>
    <n v="67.5"/>
    <n v="100"/>
    <n v="65"/>
    <x v="0"/>
    <s v="Yes"/>
    <s v="Yes"/>
    <s v="Low"/>
    <x v="0"/>
    <x v="0"/>
    <x v="1"/>
  </r>
  <r>
    <x v="290"/>
    <s v="10-B"/>
    <x v="0"/>
    <n v="44.6"/>
    <n v="100"/>
    <n v="46"/>
    <x v="1"/>
    <s v="Yes"/>
    <s v="No"/>
    <s v="Critical"/>
    <x v="0"/>
    <x v="3"/>
    <x v="1"/>
  </r>
  <r>
    <x v="291"/>
    <s v="10-A"/>
    <x v="2"/>
    <n v="60.8"/>
    <n v="100"/>
    <n v="48"/>
    <x v="0"/>
    <s v="Yes"/>
    <s v="Yes"/>
    <s v="Low"/>
    <x v="0"/>
    <x v="0"/>
    <x v="1"/>
  </r>
  <r>
    <x v="292"/>
    <s v="10-C"/>
    <x v="1"/>
    <n v="54.1"/>
    <n v="100"/>
    <n v="71"/>
    <x v="1"/>
    <s v="No"/>
    <s v="No"/>
    <s v="High"/>
    <x v="0"/>
    <x v="0"/>
    <x v="1"/>
  </r>
  <r>
    <x v="293"/>
    <s v="10-A"/>
    <x v="1"/>
    <n v="51"/>
    <n v="100"/>
    <n v="50"/>
    <x v="0"/>
    <s v="Yes"/>
    <s v="Yes"/>
    <s v="Low"/>
    <x v="0"/>
    <x v="0"/>
    <x v="1"/>
  </r>
  <r>
    <x v="294"/>
    <s v="10-B"/>
    <x v="0"/>
    <n v="40.200000000000003"/>
    <n v="100"/>
    <n v="42"/>
    <x v="1"/>
    <s v="No"/>
    <s v="No"/>
    <s v="Critical"/>
    <x v="0"/>
    <x v="3"/>
    <x v="1"/>
  </r>
  <r>
    <x v="295"/>
    <s v="10-B"/>
    <x v="1"/>
    <n v="49.2"/>
    <n v="100"/>
    <n v="72"/>
    <x v="0"/>
    <s v="No"/>
    <s v="Yes"/>
    <s v="Medium"/>
    <x v="0"/>
    <x v="3"/>
    <x v="1"/>
  </r>
  <r>
    <x v="296"/>
    <s v="10-A"/>
    <x v="2"/>
    <n v="47.1"/>
    <n v="100"/>
    <n v="71"/>
    <x v="1"/>
    <s v="Yes"/>
    <s v="Yes"/>
    <s v="Medium"/>
    <x v="0"/>
    <x v="3"/>
    <x v="1"/>
  </r>
  <r>
    <x v="297"/>
    <s v="10-A"/>
    <x v="1"/>
    <n v="58.4"/>
    <n v="100"/>
    <n v="84"/>
    <x v="1"/>
    <s v="Yes"/>
    <s v="Yes"/>
    <s v="Low"/>
    <x v="0"/>
    <x v="0"/>
    <x v="2"/>
  </r>
  <r>
    <x v="298"/>
    <s v="10-A"/>
    <x v="1"/>
    <n v="55.9"/>
    <n v="100"/>
    <n v="69"/>
    <x v="0"/>
    <s v="Yes"/>
    <s v="Yes"/>
    <s v="Low"/>
    <x v="0"/>
    <x v="0"/>
    <x v="1"/>
  </r>
  <r>
    <x v="299"/>
    <s v="10-C"/>
    <x v="0"/>
    <n v="57.6"/>
    <n v="100"/>
    <n v="86"/>
    <x v="1"/>
    <s v="Yes"/>
    <s v="Yes"/>
    <s v="Low"/>
    <x v="0"/>
    <x v="0"/>
    <x v="0"/>
  </r>
  <r>
    <x v="300"/>
    <s v="10-A"/>
    <x v="2"/>
    <n v="67.3"/>
    <n v="100"/>
    <n v="63"/>
    <x v="1"/>
    <s v="Yes"/>
    <s v="Yes"/>
    <s v="Low"/>
    <x v="0"/>
    <x v="0"/>
    <x v="1"/>
  </r>
  <r>
    <x v="301"/>
    <s v="10-A"/>
    <x v="2"/>
    <n v="76.599999999999994"/>
    <n v="100"/>
    <n v="66"/>
    <x v="0"/>
    <s v="No"/>
    <s v="Yes"/>
    <s v="Low"/>
    <x v="0"/>
    <x v="1"/>
    <x v="1"/>
  </r>
  <r>
    <x v="302"/>
    <s v="10-C"/>
    <x v="2"/>
    <n v="71.7"/>
    <n v="100"/>
    <n v="77"/>
    <x v="0"/>
    <s v="No"/>
    <s v="Yes"/>
    <s v="Low"/>
    <x v="0"/>
    <x v="1"/>
    <x v="2"/>
  </r>
  <r>
    <x v="303"/>
    <s v="10-B"/>
    <x v="1"/>
    <n v="41.9"/>
    <n v="100"/>
    <n v="59"/>
    <x v="0"/>
    <s v="Yes"/>
    <s v="Yes"/>
    <s v="Medium"/>
    <x v="0"/>
    <x v="3"/>
    <x v="1"/>
  </r>
  <r>
    <x v="304"/>
    <s v="10-A"/>
    <x v="0"/>
    <n v="57.2"/>
    <n v="100"/>
    <n v="42"/>
    <x v="0"/>
    <s v="Yes"/>
    <s v="No"/>
    <s v="High"/>
    <x v="0"/>
    <x v="0"/>
    <x v="1"/>
  </r>
  <r>
    <x v="305"/>
    <s v="10-C"/>
    <x v="1"/>
    <n v="65.3"/>
    <n v="100"/>
    <n v="63"/>
    <x v="1"/>
    <s v="No"/>
    <s v="Yes"/>
    <s v="Low"/>
    <x v="0"/>
    <x v="0"/>
    <x v="1"/>
  </r>
  <r>
    <x v="306"/>
    <s v="10-B"/>
    <x v="2"/>
    <n v="73.8"/>
    <n v="100"/>
    <n v="98"/>
    <x v="1"/>
    <s v="No"/>
    <s v="No"/>
    <s v="High"/>
    <x v="0"/>
    <x v="1"/>
    <x v="0"/>
  </r>
  <r>
    <x v="307"/>
    <s v="10-B"/>
    <x v="1"/>
    <n v="66.599999999999994"/>
    <n v="100"/>
    <n v="56"/>
    <x v="0"/>
    <s v="No"/>
    <s v="Yes"/>
    <s v="Low"/>
    <x v="0"/>
    <x v="0"/>
    <x v="1"/>
  </r>
  <r>
    <x v="308"/>
    <s v="10-A"/>
    <x v="1"/>
    <n v="70.599999999999994"/>
    <n v="100"/>
    <n v="96"/>
    <x v="0"/>
    <s v="Yes"/>
    <s v="Yes"/>
    <s v="Low"/>
    <x v="0"/>
    <x v="1"/>
    <x v="0"/>
  </r>
  <r>
    <x v="309"/>
    <s v="10-B"/>
    <x v="1"/>
    <n v="84.8"/>
    <n v="100"/>
    <n v="48"/>
    <x v="1"/>
    <s v="No"/>
    <s v="No"/>
    <s v="High"/>
    <x v="0"/>
    <x v="1"/>
    <x v="1"/>
  </r>
  <r>
    <x v="310"/>
    <s v="10-C"/>
    <x v="0"/>
    <n v="73.5"/>
    <n v="100"/>
    <n v="75"/>
    <x v="1"/>
    <s v="No"/>
    <s v="No"/>
    <s v="High"/>
    <x v="0"/>
    <x v="1"/>
    <x v="2"/>
  </r>
  <r>
    <x v="311"/>
    <s v="10-A"/>
    <x v="1"/>
    <n v="80.5"/>
    <n v="100"/>
    <n v="95"/>
    <x v="1"/>
    <s v="Yes"/>
    <s v="Yes"/>
    <s v="Low"/>
    <x v="0"/>
    <x v="1"/>
    <x v="0"/>
  </r>
  <r>
    <x v="312"/>
    <s v="10-A"/>
    <x v="2"/>
    <n v="82.1"/>
    <n v="100"/>
    <n v="61"/>
    <x v="0"/>
    <s v="No"/>
    <s v="Yes"/>
    <s v="Low"/>
    <x v="0"/>
    <x v="1"/>
    <x v="1"/>
  </r>
  <r>
    <x v="313"/>
    <s v="10-A"/>
    <x v="0"/>
    <n v="84.7"/>
    <n v="100"/>
    <n v="97"/>
    <x v="0"/>
    <s v="Yes"/>
    <s v="Yes"/>
    <s v="Low"/>
    <x v="0"/>
    <x v="1"/>
    <x v="0"/>
  </r>
  <r>
    <x v="314"/>
    <s v="10-A"/>
    <x v="1"/>
    <n v="79"/>
    <n v="100"/>
    <n v="80"/>
    <x v="0"/>
    <s v="Yes"/>
    <s v="No"/>
    <s v="High"/>
    <x v="0"/>
    <x v="1"/>
    <x v="2"/>
  </r>
  <r>
    <x v="315"/>
    <s v="10-B"/>
    <x v="0"/>
    <n v="37.5"/>
    <n v="100"/>
    <n v="65"/>
    <x v="0"/>
    <s v="No"/>
    <s v="Yes"/>
    <s v="Medium"/>
    <x v="1"/>
    <x v="3"/>
    <x v="1"/>
  </r>
  <r>
    <x v="316"/>
    <s v="10-A"/>
    <x v="0"/>
    <n v="68.099999999999994"/>
    <n v="100"/>
    <n v="81"/>
    <x v="1"/>
    <s v="No"/>
    <s v="Yes"/>
    <s v="Low"/>
    <x v="0"/>
    <x v="0"/>
    <x v="2"/>
  </r>
  <r>
    <x v="317"/>
    <s v="10-C"/>
    <x v="0"/>
    <n v="44.6"/>
    <n v="100"/>
    <n v="96"/>
    <x v="0"/>
    <s v="Yes"/>
    <s v="Yes"/>
    <s v="Medium"/>
    <x v="0"/>
    <x v="3"/>
    <x v="0"/>
  </r>
  <r>
    <x v="318"/>
    <s v="10-A"/>
    <x v="2"/>
    <n v="79.7"/>
    <n v="100"/>
    <n v="67"/>
    <x v="0"/>
    <s v="Yes"/>
    <s v="Yes"/>
    <s v="Low"/>
    <x v="0"/>
    <x v="1"/>
    <x v="1"/>
  </r>
  <r>
    <x v="319"/>
    <s v="10-C"/>
    <x v="2"/>
    <n v="57.1"/>
    <n v="100"/>
    <n v="81"/>
    <x v="0"/>
    <s v="Yes"/>
    <s v="Yes"/>
    <s v="Low"/>
    <x v="0"/>
    <x v="0"/>
    <x v="2"/>
  </r>
  <r>
    <x v="320"/>
    <s v="10-B"/>
    <x v="0"/>
    <n v="50.2"/>
    <n v="100"/>
    <n v="42"/>
    <x v="0"/>
    <s v="Yes"/>
    <s v="Yes"/>
    <s v="Low"/>
    <x v="0"/>
    <x v="0"/>
    <x v="1"/>
  </r>
  <r>
    <x v="321"/>
    <s v="10-A"/>
    <x v="1"/>
    <n v="86.7"/>
    <n v="100"/>
    <n v="87"/>
    <x v="0"/>
    <s v="Yes"/>
    <s v="Yes"/>
    <s v="Low"/>
    <x v="0"/>
    <x v="2"/>
    <x v="0"/>
  </r>
  <r>
    <x v="322"/>
    <s v="10-B"/>
    <x v="0"/>
    <n v="53"/>
    <n v="100"/>
    <n v="80"/>
    <x v="1"/>
    <s v="Yes"/>
    <s v="Yes"/>
    <s v="Low"/>
    <x v="0"/>
    <x v="0"/>
    <x v="2"/>
  </r>
  <r>
    <x v="323"/>
    <s v="10-A"/>
    <x v="0"/>
    <n v="63.7"/>
    <n v="100"/>
    <n v="97"/>
    <x v="1"/>
    <s v="Yes"/>
    <s v="Yes"/>
    <s v="Low"/>
    <x v="0"/>
    <x v="0"/>
    <x v="0"/>
  </r>
  <r>
    <x v="324"/>
    <s v="10-C"/>
    <x v="0"/>
    <n v="53.5"/>
    <n v="100"/>
    <n v="65"/>
    <x v="1"/>
    <s v="Yes"/>
    <s v="No"/>
    <s v="High"/>
    <x v="0"/>
    <x v="0"/>
    <x v="1"/>
  </r>
  <r>
    <x v="325"/>
    <s v="10-B"/>
    <x v="0"/>
    <n v="86"/>
    <n v="100"/>
    <n v="60"/>
    <x v="0"/>
    <s v="Yes"/>
    <s v="No"/>
    <s v="High"/>
    <x v="0"/>
    <x v="2"/>
    <x v="1"/>
  </r>
  <r>
    <x v="326"/>
    <s v="10-C"/>
    <x v="1"/>
    <n v="40.700000000000003"/>
    <n v="100"/>
    <n v="77"/>
    <x v="0"/>
    <s v="Yes"/>
    <s v="No"/>
    <s v="Critical"/>
    <x v="0"/>
    <x v="3"/>
    <x v="2"/>
  </r>
  <r>
    <x v="327"/>
    <s v="10-C"/>
    <x v="0"/>
    <n v="85.2"/>
    <n v="100"/>
    <n v="52"/>
    <x v="0"/>
    <s v="Yes"/>
    <s v="Yes"/>
    <s v="Low"/>
    <x v="0"/>
    <x v="2"/>
    <x v="1"/>
  </r>
  <r>
    <x v="328"/>
    <s v="10-B"/>
    <x v="1"/>
    <n v="49.9"/>
    <n v="100"/>
    <n v="79"/>
    <x v="1"/>
    <s v="No"/>
    <s v="Yes"/>
    <s v="Medium"/>
    <x v="0"/>
    <x v="3"/>
    <x v="2"/>
  </r>
  <r>
    <x v="329"/>
    <s v="10-B"/>
    <x v="2"/>
    <n v="69.7"/>
    <n v="100"/>
    <n v="87"/>
    <x v="1"/>
    <s v="Yes"/>
    <s v="Yes"/>
    <s v="Low"/>
    <x v="0"/>
    <x v="0"/>
    <x v="0"/>
  </r>
  <r>
    <x v="330"/>
    <s v="10-C"/>
    <x v="0"/>
    <n v="39.1"/>
    <n v="100"/>
    <n v="91"/>
    <x v="0"/>
    <s v="Yes"/>
    <s v="No"/>
    <s v="Critical"/>
    <x v="1"/>
    <x v="3"/>
    <x v="0"/>
  </r>
  <r>
    <x v="331"/>
    <s v="10-C"/>
    <x v="0"/>
    <n v="53.9"/>
    <n v="100"/>
    <n v="69"/>
    <x v="0"/>
    <s v="Yes"/>
    <s v="Yes"/>
    <s v="Low"/>
    <x v="0"/>
    <x v="0"/>
    <x v="1"/>
  </r>
  <r>
    <x v="332"/>
    <s v="10-C"/>
    <x v="0"/>
    <n v="45.5"/>
    <n v="100"/>
    <n v="85"/>
    <x v="1"/>
    <s v="No"/>
    <s v="No"/>
    <s v="Critical"/>
    <x v="0"/>
    <x v="3"/>
    <x v="0"/>
  </r>
  <r>
    <x v="333"/>
    <s v="10-B"/>
    <x v="2"/>
    <n v="57"/>
    <n v="100"/>
    <n v="100"/>
    <x v="0"/>
    <s v="Yes"/>
    <s v="Yes"/>
    <s v="Low"/>
    <x v="0"/>
    <x v="0"/>
    <x v="0"/>
  </r>
  <r>
    <x v="334"/>
    <s v="10-A"/>
    <x v="2"/>
    <n v="75.900000000000006"/>
    <n v="100"/>
    <n v="79"/>
    <x v="1"/>
    <s v="Yes"/>
    <s v="No"/>
    <s v="High"/>
    <x v="0"/>
    <x v="1"/>
    <x v="2"/>
  </r>
  <r>
    <x v="335"/>
    <s v="10-A"/>
    <x v="1"/>
    <n v="80.8"/>
    <n v="100"/>
    <n v="88"/>
    <x v="1"/>
    <s v="No"/>
    <s v="Yes"/>
    <s v="Low"/>
    <x v="0"/>
    <x v="1"/>
    <x v="0"/>
  </r>
  <r>
    <x v="336"/>
    <s v="10-A"/>
    <x v="1"/>
    <n v="67.599999999999994"/>
    <n v="100"/>
    <n v="66"/>
    <x v="1"/>
    <s v="Yes"/>
    <s v="Yes"/>
    <s v="Low"/>
    <x v="0"/>
    <x v="0"/>
    <x v="1"/>
  </r>
  <r>
    <x v="337"/>
    <s v="10-C"/>
    <x v="2"/>
    <n v="86.2"/>
    <n v="100"/>
    <n v="62"/>
    <x v="1"/>
    <s v="Yes"/>
    <s v="Yes"/>
    <s v="Low"/>
    <x v="0"/>
    <x v="2"/>
    <x v="1"/>
  </r>
  <r>
    <x v="338"/>
    <s v="10-C"/>
    <x v="0"/>
    <n v="41.9"/>
    <n v="100"/>
    <n v="69"/>
    <x v="0"/>
    <s v="Yes"/>
    <s v="Yes"/>
    <s v="Medium"/>
    <x v="0"/>
    <x v="3"/>
    <x v="1"/>
  </r>
  <r>
    <x v="339"/>
    <s v="10-C"/>
    <x v="1"/>
    <n v="53.1"/>
    <n v="100"/>
    <n v="51"/>
    <x v="1"/>
    <s v="No"/>
    <s v="No"/>
    <s v="High"/>
    <x v="0"/>
    <x v="0"/>
    <x v="1"/>
  </r>
  <r>
    <x v="340"/>
    <s v="10-A"/>
    <x v="2"/>
    <n v="67.2"/>
    <n v="100"/>
    <n v="82"/>
    <x v="1"/>
    <s v="No"/>
    <s v="Yes"/>
    <s v="Low"/>
    <x v="0"/>
    <x v="0"/>
    <x v="2"/>
  </r>
  <r>
    <x v="341"/>
    <s v="10-B"/>
    <x v="0"/>
    <n v="70.400000000000006"/>
    <n v="100"/>
    <n v="94"/>
    <x v="1"/>
    <s v="Yes"/>
    <s v="No"/>
    <s v="High"/>
    <x v="0"/>
    <x v="1"/>
    <x v="0"/>
  </r>
  <r>
    <x v="342"/>
    <s v="10-C"/>
    <x v="1"/>
    <n v="82.7"/>
    <n v="100"/>
    <n v="97"/>
    <x v="1"/>
    <s v="No"/>
    <s v="No"/>
    <s v="High"/>
    <x v="0"/>
    <x v="1"/>
    <x v="0"/>
  </r>
  <r>
    <x v="343"/>
    <s v="10-A"/>
    <x v="0"/>
    <n v="71.599999999999994"/>
    <n v="100"/>
    <n v="46"/>
    <x v="1"/>
    <s v="Yes"/>
    <s v="No"/>
    <s v="High"/>
    <x v="0"/>
    <x v="1"/>
    <x v="1"/>
  </r>
  <r>
    <x v="344"/>
    <s v="10-A"/>
    <x v="1"/>
    <n v="77.3"/>
    <n v="100"/>
    <n v="83"/>
    <x v="1"/>
    <s v="Yes"/>
    <s v="Yes"/>
    <s v="Low"/>
    <x v="0"/>
    <x v="1"/>
    <x v="2"/>
  </r>
  <r>
    <x v="345"/>
    <s v="10-A"/>
    <x v="1"/>
    <n v="72.099999999999994"/>
    <n v="100"/>
    <n v="41"/>
    <x v="1"/>
    <s v="Yes"/>
    <s v="Yes"/>
    <s v="Low"/>
    <x v="0"/>
    <x v="1"/>
    <x v="1"/>
  </r>
  <r>
    <x v="346"/>
    <s v="10-C"/>
    <x v="1"/>
    <n v="47.1"/>
    <n v="100"/>
    <n v="71"/>
    <x v="1"/>
    <s v="Yes"/>
    <s v="Yes"/>
    <s v="Medium"/>
    <x v="0"/>
    <x v="3"/>
    <x v="1"/>
  </r>
  <r>
    <x v="347"/>
    <s v="10-A"/>
    <x v="0"/>
    <n v="49.6"/>
    <n v="100"/>
    <n v="86"/>
    <x v="0"/>
    <s v="Yes"/>
    <s v="Yes"/>
    <s v="Medium"/>
    <x v="0"/>
    <x v="3"/>
    <x v="0"/>
  </r>
  <r>
    <x v="348"/>
    <s v="10-A"/>
    <x v="0"/>
    <n v="85.2"/>
    <n v="100"/>
    <n v="72"/>
    <x v="1"/>
    <s v="Yes"/>
    <s v="Yes"/>
    <s v="Low"/>
    <x v="0"/>
    <x v="2"/>
    <x v="1"/>
  </r>
  <r>
    <x v="349"/>
    <s v="10-A"/>
    <x v="2"/>
    <n v="50.1"/>
    <n v="100"/>
    <n v="81"/>
    <x v="0"/>
    <s v="Yes"/>
    <s v="Yes"/>
    <s v="Low"/>
    <x v="0"/>
    <x v="0"/>
    <x v="2"/>
  </r>
  <r>
    <x v="350"/>
    <s v="10-C"/>
    <x v="2"/>
    <n v="40.700000000000003"/>
    <n v="100"/>
    <n v="57"/>
    <x v="0"/>
    <s v="Yes"/>
    <s v="Yes"/>
    <s v="Medium"/>
    <x v="0"/>
    <x v="3"/>
    <x v="1"/>
  </r>
  <r>
    <x v="351"/>
    <s v="10-A"/>
    <x v="1"/>
    <n v="36.1"/>
    <n v="100"/>
    <n v="51"/>
    <x v="1"/>
    <s v="Yes"/>
    <s v="Yes"/>
    <s v="Medium"/>
    <x v="1"/>
    <x v="3"/>
    <x v="1"/>
  </r>
  <r>
    <x v="352"/>
    <s v="10-A"/>
    <x v="1"/>
    <n v="40.799999999999997"/>
    <n v="100"/>
    <n v="48"/>
    <x v="0"/>
    <s v="No"/>
    <s v="No"/>
    <s v="Critical"/>
    <x v="0"/>
    <x v="3"/>
    <x v="1"/>
  </r>
  <r>
    <x v="353"/>
    <s v="10-B"/>
    <x v="2"/>
    <n v="42.7"/>
    <n v="100"/>
    <n v="87"/>
    <x v="0"/>
    <s v="No"/>
    <s v="Yes"/>
    <s v="Medium"/>
    <x v="0"/>
    <x v="3"/>
    <x v="0"/>
  </r>
  <r>
    <x v="354"/>
    <s v="10-C"/>
    <x v="2"/>
    <n v="44.8"/>
    <n v="100"/>
    <n v="88"/>
    <x v="0"/>
    <s v="Yes"/>
    <s v="Yes"/>
    <s v="Medium"/>
    <x v="0"/>
    <x v="3"/>
    <x v="0"/>
  </r>
  <r>
    <x v="355"/>
    <s v="10-B"/>
    <x v="2"/>
    <n v="70.099999999999994"/>
    <n v="100"/>
    <n v="71"/>
    <x v="0"/>
    <s v="Yes"/>
    <s v="Yes"/>
    <s v="Low"/>
    <x v="0"/>
    <x v="1"/>
    <x v="1"/>
  </r>
  <r>
    <x v="356"/>
    <s v="10-A"/>
    <x v="2"/>
    <n v="80.400000000000006"/>
    <n v="100"/>
    <n v="84"/>
    <x v="0"/>
    <s v="Yes"/>
    <s v="Yes"/>
    <s v="Low"/>
    <x v="0"/>
    <x v="1"/>
    <x v="2"/>
  </r>
  <r>
    <x v="357"/>
    <s v="10-A"/>
    <x v="1"/>
    <n v="40.700000000000003"/>
    <n v="100"/>
    <n v="47"/>
    <x v="0"/>
    <s v="Yes"/>
    <s v="Yes"/>
    <s v="Medium"/>
    <x v="0"/>
    <x v="3"/>
    <x v="1"/>
  </r>
  <r>
    <x v="358"/>
    <s v="10-C"/>
    <x v="2"/>
    <n v="85"/>
    <n v="100"/>
    <n v="70"/>
    <x v="0"/>
    <s v="Yes"/>
    <s v="Yes"/>
    <s v="Low"/>
    <x v="0"/>
    <x v="2"/>
    <x v="1"/>
  </r>
  <r>
    <x v="359"/>
    <s v="10-C"/>
    <x v="1"/>
    <n v="51.2"/>
    <n v="100"/>
    <n v="42"/>
    <x v="1"/>
    <s v="Yes"/>
    <s v="Yes"/>
    <s v="Low"/>
    <x v="0"/>
    <x v="0"/>
    <x v="1"/>
  </r>
  <r>
    <x v="360"/>
    <s v="10-C"/>
    <x v="2"/>
    <n v="76.3"/>
    <n v="100"/>
    <n v="93"/>
    <x v="0"/>
    <s v="Yes"/>
    <s v="Yes"/>
    <s v="Low"/>
    <x v="0"/>
    <x v="1"/>
    <x v="0"/>
  </r>
  <r>
    <x v="361"/>
    <s v="10-C"/>
    <x v="0"/>
    <n v="74.900000000000006"/>
    <n v="100"/>
    <n v="49"/>
    <x v="0"/>
    <s v="Yes"/>
    <s v="No"/>
    <s v="High"/>
    <x v="0"/>
    <x v="1"/>
    <x v="1"/>
  </r>
  <r>
    <x v="362"/>
    <s v="10-C"/>
    <x v="1"/>
    <n v="81.2"/>
    <n v="100"/>
    <n v="72"/>
    <x v="0"/>
    <s v="No"/>
    <s v="Yes"/>
    <s v="Low"/>
    <x v="0"/>
    <x v="1"/>
    <x v="1"/>
  </r>
  <r>
    <x v="363"/>
    <s v="10-A"/>
    <x v="2"/>
    <n v="56.3"/>
    <n v="100"/>
    <n v="93"/>
    <x v="0"/>
    <s v="Yes"/>
    <s v="Yes"/>
    <s v="Low"/>
    <x v="0"/>
    <x v="0"/>
    <x v="0"/>
  </r>
  <r>
    <x v="364"/>
    <s v="10-C"/>
    <x v="1"/>
    <n v="58"/>
    <n v="100"/>
    <n v="80"/>
    <x v="1"/>
    <s v="Yes"/>
    <s v="Yes"/>
    <s v="Low"/>
    <x v="0"/>
    <x v="0"/>
    <x v="2"/>
  </r>
  <r>
    <x v="365"/>
    <s v="10-A"/>
    <x v="2"/>
    <n v="61.5"/>
    <n v="100"/>
    <n v="95"/>
    <x v="0"/>
    <s v="No"/>
    <s v="No"/>
    <s v="High"/>
    <x v="0"/>
    <x v="0"/>
    <x v="0"/>
  </r>
  <r>
    <x v="366"/>
    <s v="10-A"/>
    <x v="0"/>
    <n v="41.7"/>
    <n v="100"/>
    <n v="97"/>
    <x v="0"/>
    <s v="No"/>
    <s v="Yes"/>
    <s v="Medium"/>
    <x v="0"/>
    <x v="3"/>
    <x v="0"/>
  </r>
  <r>
    <x v="367"/>
    <s v="10-B"/>
    <x v="1"/>
    <n v="67"/>
    <n v="100"/>
    <n v="40"/>
    <x v="1"/>
    <s v="No"/>
    <s v="No"/>
    <s v="High"/>
    <x v="0"/>
    <x v="0"/>
    <x v="1"/>
  </r>
  <r>
    <x v="368"/>
    <s v="10-C"/>
    <x v="0"/>
    <n v="38.5"/>
    <n v="100"/>
    <n v="65"/>
    <x v="1"/>
    <s v="Yes"/>
    <s v="No"/>
    <s v="Critical"/>
    <x v="1"/>
    <x v="3"/>
    <x v="1"/>
  </r>
  <r>
    <x v="369"/>
    <s v="10-A"/>
    <x v="0"/>
    <n v="68.8"/>
    <n v="100"/>
    <n v="88"/>
    <x v="1"/>
    <s v="Yes"/>
    <s v="Yes"/>
    <s v="Low"/>
    <x v="0"/>
    <x v="0"/>
    <x v="0"/>
  </r>
  <r>
    <x v="370"/>
    <s v="10-C"/>
    <x v="2"/>
    <n v="74.400000000000006"/>
    <n v="100"/>
    <n v="74"/>
    <x v="0"/>
    <s v="No"/>
    <s v="Yes"/>
    <s v="Low"/>
    <x v="0"/>
    <x v="1"/>
    <x v="1"/>
  </r>
  <r>
    <x v="371"/>
    <s v="10-B"/>
    <x v="1"/>
    <n v="41.2"/>
    <n v="100"/>
    <n v="72"/>
    <x v="1"/>
    <s v="Yes"/>
    <s v="No"/>
    <s v="Critical"/>
    <x v="0"/>
    <x v="3"/>
    <x v="1"/>
  </r>
  <r>
    <x v="372"/>
    <s v="10-A"/>
    <x v="2"/>
    <n v="51.5"/>
    <n v="100"/>
    <n v="75"/>
    <x v="1"/>
    <s v="Yes"/>
    <s v="Yes"/>
    <s v="Low"/>
    <x v="0"/>
    <x v="0"/>
    <x v="2"/>
  </r>
  <r>
    <x v="373"/>
    <s v="10-B"/>
    <x v="2"/>
    <n v="60.8"/>
    <n v="100"/>
    <n v="78"/>
    <x v="1"/>
    <s v="No"/>
    <s v="No"/>
    <s v="High"/>
    <x v="0"/>
    <x v="0"/>
    <x v="2"/>
  </r>
  <r>
    <x v="374"/>
    <s v="10-C"/>
    <x v="2"/>
    <n v="80.8"/>
    <n v="100"/>
    <n v="58"/>
    <x v="1"/>
    <s v="No"/>
    <s v="Yes"/>
    <s v="Low"/>
    <x v="0"/>
    <x v="1"/>
    <x v="1"/>
  </r>
  <r>
    <x v="375"/>
    <s v="10-B"/>
    <x v="1"/>
    <n v="76.099999999999994"/>
    <n v="100"/>
    <n v="41"/>
    <x v="1"/>
    <s v="Yes"/>
    <s v="Yes"/>
    <s v="Low"/>
    <x v="0"/>
    <x v="1"/>
    <x v="1"/>
  </r>
  <r>
    <x v="376"/>
    <s v="10-B"/>
    <x v="0"/>
    <n v="44.6"/>
    <n v="100"/>
    <n v="46"/>
    <x v="0"/>
    <s v="Yes"/>
    <s v="Yes"/>
    <s v="Medium"/>
    <x v="0"/>
    <x v="3"/>
    <x v="1"/>
  </r>
  <r>
    <x v="377"/>
    <s v="10-B"/>
    <x v="2"/>
    <n v="78.8"/>
    <n v="100"/>
    <n v="78"/>
    <x v="0"/>
    <s v="No"/>
    <s v="Yes"/>
    <s v="Low"/>
    <x v="0"/>
    <x v="1"/>
    <x v="2"/>
  </r>
  <r>
    <x v="378"/>
    <s v="10-C"/>
    <x v="2"/>
    <n v="81.3"/>
    <n v="100"/>
    <n v="73"/>
    <x v="0"/>
    <s v="Yes"/>
    <s v="Yes"/>
    <s v="Low"/>
    <x v="0"/>
    <x v="1"/>
    <x v="1"/>
  </r>
  <r>
    <x v="379"/>
    <s v="10-A"/>
    <x v="0"/>
    <n v="56.6"/>
    <n v="100"/>
    <n v="86"/>
    <x v="1"/>
    <s v="Yes"/>
    <s v="No"/>
    <s v="High"/>
    <x v="0"/>
    <x v="0"/>
    <x v="0"/>
  </r>
  <r>
    <x v="380"/>
    <s v="10-B"/>
    <x v="1"/>
    <n v="46.4"/>
    <n v="100"/>
    <n v="54"/>
    <x v="0"/>
    <s v="Yes"/>
    <s v="Yes"/>
    <s v="Medium"/>
    <x v="0"/>
    <x v="3"/>
    <x v="1"/>
  </r>
  <r>
    <x v="381"/>
    <s v="10-C"/>
    <x v="1"/>
    <n v="38.799999999999997"/>
    <n v="100"/>
    <n v="48"/>
    <x v="1"/>
    <s v="Yes"/>
    <s v="Yes"/>
    <s v="Medium"/>
    <x v="1"/>
    <x v="3"/>
    <x v="1"/>
  </r>
  <r>
    <x v="382"/>
    <s v="10-C"/>
    <x v="1"/>
    <n v="68.599999999999994"/>
    <n v="100"/>
    <n v="46"/>
    <x v="1"/>
    <s v="Yes"/>
    <s v="Yes"/>
    <s v="Low"/>
    <x v="0"/>
    <x v="0"/>
    <x v="1"/>
  </r>
  <r>
    <x v="383"/>
    <s v="10-C"/>
    <x v="1"/>
    <n v="64.099999999999994"/>
    <n v="100"/>
    <n v="61"/>
    <x v="0"/>
    <s v="Yes"/>
    <s v="Yes"/>
    <s v="Low"/>
    <x v="0"/>
    <x v="0"/>
    <x v="1"/>
  </r>
  <r>
    <x v="384"/>
    <s v="10-C"/>
    <x v="2"/>
    <n v="80.599999999999994"/>
    <n v="100"/>
    <n v="76"/>
    <x v="1"/>
    <s v="No"/>
    <s v="No"/>
    <s v="High"/>
    <x v="0"/>
    <x v="1"/>
    <x v="2"/>
  </r>
  <r>
    <x v="385"/>
    <s v="10-B"/>
    <x v="0"/>
    <n v="66"/>
    <n v="100"/>
    <n v="70"/>
    <x v="1"/>
    <s v="Yes"/>
    <s v="Yes"/>
    <s v="Low"/>
    <x v="0"/>
    <x v="0"/>
    <x v="1"/>
  </r>
  <r>
    <x v="386"/>
    <s v="10-A"/>
    <x v="0"/>
    <n v="60.8"/>
    <n v="100"/>
    <n v="68"/>
    <x v="0"/>
    <s v="No"/>
    <s v="Yes"/>
    <s v="Low"/>
    <x v="0"/>
    <x v="0"/>
    <x v="1"/>
  </r>
  <r>
    <x v="387"/>
    <s v="10-C"/>
    <x v="0"/>
    <n v="84.6"/>
    <n v="100"/>
    <n v="56"/>
    <x v="1"/>
    <s v="Yes"/>
    <s v="No"/>
    <s v="High"/>
    <x v="0"/>
    <x v="1"/>
    <x v="1"/>
  </r>
  <r>
    <x v="388"/>
    <s v="10-B"/>
    <x v="2"/>
    <n v="62.4"/>
    <n v="100"/>
    <n v="54"/>
    <x v="1"/>
    <s v="No"/>
    <s v="Yes"/>
    <s v="Low"/>
    <x v="0"/>
    <x v="0"/>
    <x v="1"/>
  </r>
  <r>
    <x v="389"/>
    <s v="10-B"/>
    <x v="1"/>
    <n v="83"/>
    <n v="100"/>
    <n v="40"/>
    <x v="0"/>
    <s v="Yes"/>
    <s v="Yes"/>
    <s v="Low"/>
    <x v="0"/>
    <x v="1"/>
    <x v="1"/>
  </r>
  <r>
    <x v="390"/>
    <s v="10-B"/>
    <x v="2"/>
    <n v="62"/>
    <n v="100"/>
    <n v="70"/>
    <x v="0"/>
    <s v="Yes"/>
    <s v="Yes"/>
    <s v="Low"/>
    <x v="0"/>
    <x v="0"/>
    <x v="1"/>
  </r>
  <r>
    <x v="391"/>
    <s v="10-C"/>
    <x v="2"/>
    <n v="76.5"/>
    <n v="100"/>
    <n v="85"/>
    <x v="1"/>
    <s v="No"/>
    <s v="No"/>
    <s v="High"/>
    <x v="0"/>
    <x v="1"/>
    <x v="0"/>
  </r>
  <r>
    <x v="392"/>
    <s v="10-A"/>
    <x v="2"/>
    <n v="35.200000000000003"/>
    <n v="100"/>
    <n v="42"/>
    <x v="0"/>
    <s v="Yes"/>
    <s v="No"/>
    <s v="Critical"/>
    <x v="1"/>
    <x v="3"/>
    <x v="1"/>
  </r>
  <r>
    <x v="393"/>
    <s v="10-B"/>
    <x v="2"/>
    <n v="62.4"/>
    <n v="100"/>
    <n v="94"/>
    <x v="0"/>
    <s v="No"/>
    <s v="No"/>
    <s v="High"/>
    <x v="0"/>
    <x v="0"/>
    <x v="0"/>
  </r>
  <r>
    <x v="394"/>
    <s v="10-A"/>
    <x v="1"/>
    <n v="74.7"/>
    <n v="100"/>
    <n v="97"/>
    <x v="0"/>
    <s v="Yes"/>
    <s v="Yes"/>
    <s v="Low"/>
    <x v="0"/>
    <x v="1"/>
    <x v="0"/>
  </r>
  <r>
    <x v="395"/>
    <s v="10-C"/>
    <x v="1"/>
    <n v="37.4"/>
    <n v="100"/>
    <n v="74"/>
    <x v="0"/>
    <s v="Yes"/>
    <s v="Yes"/>
    <s v="Medium"/>
    <x v="1"/>
    <x v="3"/>
    <x v="1"/>
  </r>
  <r>
    <x v="396"/>
    <s v="10-A"/>
    <x v="0"/>
    <n v="41.5"/>
    <n v="100"/>
    <n v="55"/>
    <x v="1"/>
    <s v="Yes"/>
    <s v="Yes"/>
    <s v="Medium"/>
    <x v="0"/>
    <x v="3"/>
    <x v="1"/>
  </r>
  <r>
    <x v="397"/>
    <s v="10-C"/>
    <x v="0"/>
    <n v="39.5"/>
    <n v="100"/>
    <n v="45"/>
    <x v="1"/>
    <s v="Yes"/>
    <s v="Yes"/>
    <s v="Medium"/>
    <x v="1"/>
    <x v="3"/>
    <x v="1"/>
  </r>
  <r>
    <x v="398"/>
    <s v="10-B"/>
    <x v="0"/>
    <n v="88.8"/>
    <n v="100"/>
    <n v="98"/>
    <x v="1"/>
    <s v="Yes"/>
    <s v="Yes"/>
    <s v="Low"/>
    <x v="0"/>
    <x v="2"/>
    <x v="0"/>
  </r>
  <r>
    <x v="399"/>
    <s v="10-C"/>
    <x v="2"/>
    <n v="41.8"/>
    <n v="100"/>
    <n v="58"/>
    <x v="0"/>
    <s v="Yes"/>
    <s v="Yes"/>
    <s v="Medium"/>
    <x v="0"/>
    <x v="3"/>
    <x v="1"/>
  </r>
  <r>
    <x v="400"/>
    <s v="10-A"/>
    <x v="1"/>
    <n v="49.5"/>
    <n v="100"/>
    <n v="55"/>
    <x v="1"/>
    <s v="No"/>
    <s v="Yes"/>
    <s v="Medium"/>
    <x v="0"/>
    <x v="3"/>
    <x v="1"/>
  </r>
  <r>
    <x v="401"/>
    <s v="10-C"/>
    <x v="2"/>
    <n v="76.7"/>
    <n v="100"/>
    <n v="77"/>
    <x v="1"/>
    <s v="Yes"/>
    <s v="Yes"/>
    <s v="Low"/>
    <x v="0"/>
    <x v="1"/>
    <x v="2"/>
  </r>
  <r>
    <x v="402"/>
    <s v="10-A"/>
    <x v="2"/>
    <n v="73.599999999999994"/>
    <n v="100"/>
    <n v="86"/>
    <x v="0"/>
    <s v="Yes"/>
    <s v="Yes"/>
    <s v="Low"/>
    <x v="0"/>
    <x v="1"/>
    <x v="0"/>
  </r>
  <r>
    <x v="403"/>
    <s v="10-C"/>
    <x v="2"/>
    <n v="65.3"/>
    <n v="100"/>
    <n v="53"/>
    <x v="0"/>
    <s v="Yes"/>
    <s v="Yes"/>
    <s v="Low"/>
    <x v="0"/>
    <x v="0"/>
    <x v="1"/>
  </r>
  <r>
    <x v="404"/>
    <s v="10-C"/>
    <x v="0"/>
    <n v="83.5"/>
    <n v="100"/>
    <n v="45"/>
    <x v="0"/>
    <s v="Yes"/>
    <s v="Yes"/>
    <s v="Low"/>
    <x v="0"/>
    <x v="1"/>
    <x v="1"/>
  </r>
  <r>
    <x v="405"/>
    <s v="10-C"/>
    <x v="1"/>
    <n v="57"/>
    <n v="100"/>
    <n v="90"/>
    <x v="1"/>
    <s v="Yes"/>
    <s v="No"/>
    <s v="High"/>
    <x v="0"/>
    <x v="0"/>
    <x v="0"/>
  </r>
  <r>
    <x v="406"/>
    <s v="10-A"/>
    <x v="0"/>
    <n v="74.3"/>
    <n v="100"/>
    <n v="43"/>
    <x v="0"/>
    <s v="No"/>
    <s v="Yes"/>
    <s v="Low"/>
    <x v="0"/>
    <x v="1"/>
    <x v="1"/>
  </r>
  <r>
    <x v="407"/>
    <s v="10-B"/>
    <x v="0"/>
    <n v="49"/>
    <n v="100"/>
    <n v="40"/>
    <x v="0"/>
    <s v="Yes"/>
    <s v="Yes"/>
    <s v="Medium"/>
    <x v="0"/>
    <x v="3"/>
    <x v="1"/>
  </r>
  <r>
    <x v="408"/>
    <s v="10-A"/>
    <x v="0"/>
    <n v="50.9"/>
    <n v="100"/>
    <n v="89"/>
    <x v="0"/>
    <s v="Yes"/>
    <s v="No"/>
    <s v="High"/>
    <x v="0"/>
    <x v="0"/>
    <x v="0"/>
  </r>
  <r>
    <x v="409"/>
    <s v="10-A"/>
    <x v="2"/>
    <n v="40.799999999999997"/>
    <n v="100"/>
    <n v="98"/>
    <x v="0"/>
    <s v="No"/>
    <s v="Yes"/>
    <s v="Medium"/>
    <x v="0"/>
    <x v="3"/>
    <x v="0"/>
  </r>
  <r>
    <x v="410"/>
    <s v="10-A"/>
    <x v="1"/>
    <n v="87.9"/>
    <n v="100"/>
    <n v="89"/>
    <x v="1"/>
    <s v="No"/>
    <s v="Yes"/>
    <s v="Low"/>
    <x v="0"/>
    <x v="2"/>
    <x v="0"/>
  </r>
  <r>
    <x v="411"/>
    <s v="10-A"/>
    <x v="1"/>
    <n v="58.3"/>
    <n v="100"/>
    <n v="63"/>
    <x v="1"/>
    <s v="No"/>
    <s v="Yes"/>
    <s v="Low"/>
    <x v="0"/>
    <x v="0"/>
    <x v="1"/>
  </r>
  <r>
    <x v="412"/>
    <s v="10-A"/>
    <x v="1"/>
    <n v="55.2"/>
    <n v="100"/>
    <n v="62"/>
    <x v="0"/>
    <s v="Yes"/>
    <s v="No"/>
    <s v="High"/>
    <x v="0"/>
    <x v="0"/>
    <x v="1"/>
  </r>
  <r>
    <x v="413"/>
    <s v="10-C"/>
    <x v="0"/>
    <n v="54.4"/>
    <n v="100"/>
    <n v="74"/>
    <x v="1"/>
    <s v="No"/>
    <s v="No"/>
    <s v="High"/>
    <x v="0"/>
    <x v="0"/>
    <x v="1"/>
  </r>
  <r>
    <x v="414"/>
    <s v="10-A"/>
    <x v="1"/>
    <n v="68.900000000000006"/>
    <n v="100"/>
    <n v="79"/>
    <x v="1"/>
    <s v="Yes"/>
    <s v="Yes"/>
    <s v="Low"/>
    <x v="0"/>
    <x v="0"/>
    <x v="2"/>
  </r>
  <r>
    <x v="415"/>
    <s v="10-B"/>
    <x v="1"/>
    <n v="63.9"/>
    <n v="100"/>
    <n v="99"/>
    <x v="1"/>
    <s v="No"/>
    <s v="No"/>
    <s v="High"/>
    <x v="0"/>
    <x v="0"/>
    <x v="0"/>
  </r>
  <r>
    <x v="416"/>
    <s v="10-C"/>
    <x v="1"/>
    <n v="66.5"/>
    <n v="100"/>
    <n v="75"/>
    <x v="1"/>
    <s v="No"/>
    <s v="No"/>
    <s v="High"/>
    <x v="0"/>
    <x v="0"/>
    <x v="2"/>
  </r>
  <r>
    <x v="417"/>
    <s v="10-A"/>
    <x v="0"/>
    <n v="41.7"/>
    <n v="100"/>
    <n v="97"/>
    <x v="1"/>
    <s v="Yes"/>
    <s v="No"/>
    <s v="Critical"/>
    <x v="0"/>
    <x v="3"/>
    <x v="0"/>
  </r>
  <r>
    <x v="418"/>
    <s v="10-C"/>
    <x v="0"/>
    <n v="82.8"/>
    <n v="100"/>
    <n v="48"/>
    <x v="1"/>
    <s v="Yes"/>
    <s v="No"/>
    <s v="High"/>
    <x v="0"/>
    <x v="1"/>
    <x v="1"/>
  </r>
  <r>
    <x v="419"/>
    <s v="10-B"/>
    <x v="2"/>
    <n v="51.6"/>
    <n v="100"/>
    <n v="66"/>
    <x v="0"/>
    <s v="Yes"/>
    <s v="No"/>
    <s v="High"/>
    <x v="0"/>
    <x v="0"/>
    <x v="1"/>
  </r>
  <r>
    <x v="420"/>
    <s v="10-B"/>
    <x v="0"/>
    <n v="75.8"/>
    <n v="100"/>
    <n v="48"/>
    <x v="0"/>
    <s v="No"/>
    <s v="No"/>
    <s v="High"/>
    <x v="0"/>
    <x v="1"/>
    <x v="1"/>
  </r>
  <r>
    <x v="421"/>
    <s v="10-A"/>
    <x v="0"/>
    <n v="55.1"/>
    <n v="100"/>
    <n v="41"/>
    <x v="0"/>
    <s v="No"/>
    <s v="Yes"/>
    <s v="Low"/>
    <x v="0"/>
    <x v="0"/>
    <x v="1"/>
  </r>
  <r>
    <x v="422"/>
    <s v="10-C"/>
    <x v="1"/>
    <n v="83.4"/>
    <n v="100"/>
    <n v="84"/>
    <x v="0"/>
    <s v="Yes"/>
    <s v="Yes"/>
    <s v="Low"/>
    <x v="0"/>
    <x v="1"/>
    <x v="2"/>
  </r>
  <r>
    <x v="423"/>
    <s v="10-A"/>
    <x v="2"/>
    <n v="51.5"/>
    <n v="100"/>
    <n v="85"/>
    <x v="1"/>
    <s v="Yes"/>
    <s v="Yes"/>
    <s v="Low"/>
    <x v="0"/>
    <x v="0"/>
    <x v="0"/>
  </r>
  <r>
    <x v="424"/>
    <s v="10-A"/>
    <x v="0"/>
    <n v="68.7"/>
    <n v="100"/>
    <n v="47"/>
    <x v="1"/>
    <s v="Yes"/>
    <s v="No"/>
    <s v="High"/>
    <x v="0"/>
    <x v="0"/>
    <x v="1"/>
  </r>
  <r>
    <x v="425"/>
    <s v="10-B"/>
    <x v="2"/>
    <n v="38.200000000000003"/>
    <n v="100"/>
    <n v="82"/>
    <x v="1"/>
    <s v="Yes"/>
    <s v="No"/>
    <s v="Critical"/>
    <x v="1"/>
    <x v="3"/>
    <x v="2"/>
  </r>
  <r>
    <x v="426"/>
    <s v="10-A"/>
    <x v="2"/>
    <n v="77.599999999999994"/>
    <n v="100"/>
    <n v="46"/>
    <x v="1"/>
    <s v="Yes"/>
    <s v="Yes"/>
    <s v="Low"/>
    <x v="0"/>
    <x v="1"/>
    <x v="1"/>
  </r>
  <r>
    <x v="427"/>
    <s v="10-A"/>
    <x v="2"/>
    <n v="67.5"/>
    <n v="100"/>
    <n v="55"/>
    <x v="0"/>
    <s v="Yes"/>
    <s v="No"/>
    <s v="High"/>
    <x v="0"/>
    <x v="0"/>
    <x v="1"/>
  </r>
  <r>
    <x v="428"/>
    <s v="10-A"/>
    <x v="2"/>
    <n v="71.599999999999994"/>
    <n v="100"/>
    <n v="96"/>
    <x v="0"/>
    <s v="Yes"/>
    <s v="No"/>
    <s v="High"/>
    <x v="0"/>
    <x v="1"/>
    <x v="0"/>
  </r>
  <r>
    <x v="429"/>
    <s v="10-B"/>
    <x v="0"/>
    <n v="47.8"/>
    <n v="100"/>
    <n v="48"/>
    <x v="1"/>
    <s v="No"/>
    <s v="No"/>
    <s v="Critical"/>
    <x v="0"/>
    <x v="3"/>
    <x v="1"/>
  </r>
  <r>
    <x v="430"/>
    <s v="10-A"/>
    <x v="1"/>
    <n v="57.9"/>
    <n v="100"/>
    <n v="99"/>
    <x v="1"/>
    <s v="Yes"/>
    <s v="Yes"/>
    <s v="Low"/>
    <x v="0"/>
    <x v="0"/>
    <x v="0"/>
  </r>
  <r>
    <x v="431"/>
    <s v="10-B"/>
    <x v="1"/>
    <n v="35.6"/>
    <n v="100"/>
    <n v="46"/>
    <x v="1"/>
    <s v="Yes"/>
    <s v="No"/>
    <s v="Critical"/>
    <x v="1"/>
    <x v="3"/>
    <x v="1"/>
  </r>
  <r>
    <x v="432"/>
    <s v="10-A"/>
    <x v="1"/>
    <n v="38.200000000000003"/>
    <n v="100"/>
    <n v="82"/>
    <x v="0"/>
    <s v="Yes"/>
    <s v="Yes"/>
    <s v="Medium"/>
    <x v="1"/>
    <x v="3"/>
    <x v="2"/>
  </r>
  <r>
    <x v="433"/>
    <s v="10-C"/>
    <x v="0"/>
    <n v="47.1"/>
    <n v="100"/>
    <n v="41"/>
    <x v="0"/>
    <s v="Yes"/>
    <s v="Yes"/>
    <s v="Medium"/>
    <x v="0"/>
    <x v="3"/>
    <x v="1"/>
  </r>
  <r>
    <x v="434"/>
    <s v="10-A"/>
    <x v="1"/>
    <n v="51.5"/>
    <n v="100"/>
    <n v="85"/>
    <x v="1"/>
    <s v="Yes"/>
    <s v="Yes"/>
    <s v="Low"/>
    <x v="0"/>
    <x v="0"/>
    <x v="0"/>
  </r>
  <r>
    <x v="435"/>
    <s v="10-B"/>
    <x v="0"/>
    <n v="49.8"/>
    <n v="100"/>
    <n v="58"/>
    <x v="1"/>
    <s v="No"/>
    <s v="Yes"/>
    <s v="Medium"/>
    <x v="0"/>
    <x v="3"/>
    <x v="1"/>
  </r>
  <r>
    <x v="436"/>
    <s v="10-A"/>
    <x v="0"/>
    <n v="47.5"/>
    <n v="100"/>
    <n v="75"/>
    <x v="1"/>
    <s v="No"/>
    <s v="Yes"/>
    <s v="Medium"/>
    <x v="0"/>
    <x v="3"/>
    <x v="2"/>
  </r>
  <r>
    <x v="437"/>
    <s v="10-C"/>
    <x v="1"/>
    <n v="62.7"/>
    <n v="100"/>
    <n v="57"/>
    <x v="0"/>
    <s v="No"/>
    <s v="Yes"/>
    <s v="Low"/>
    <x v="0"/>
    <x v="0"/>
    <x v="1"/>
  </r>
  <r>
    <x v="438"/>
    <s v="10-C"/>
    <x v="0"/>
    <n v="68.900000000000006"/>
    <n v="100"/>
    <n v="59"/>
    <x v="0"/>
    <s v="No"/>
    <s v="No"/>
    <s v="High"/>
    <x v="0"/>
    <x v="0"/>
    <x v="1"/>
  </r>
  <r>
    <x v="439"/>
    <s v="10-C"/>
    <x v="0"/>
    <n v="61.3"/>
    <n v="100"/>
    <n v="43"/>
    <x v="1"/>
    <s v="Yes"/>
    <s v="Yes"/>
    <s v="Low"/>
    <x v="0"/>
    <x v="0"/>
    <x v="1"/>
  </r>
  <r>
    <x v="440"/>
    <s v="10-B"/>
    <x v="1"/>
    <n v="80.400000000000006"/>
    <n v="100"/>
    <n v="54"/>
    <x v="0"/>
    <s v="Yes"/>
    <s v="Yes"/>
    <s v="Low"/>
    <x v="0"/>
    <x v="1"/>
    <x v="1"/>
  </r>
  <r>
    <x v="441"/>
    <s v="10-B"/>
    <x v="1"/>
    <n v="66.099999999999994"/>
    <n v="100"/>
    <n v="51"/>
    <x v="0"/>
    <s v="Yes"/>
    <s v="Yes"/>
    <s v="Low"/>
    <x v="0"/>
    <x v="0"/>
    <x v="1"/>
  </r>
  <r>
    <x v="442"/>
    <s v="10-A"/>
    <x v="2"/>
    <n v="42.4"/>
    <n v="100"/>
    <n v="74"/>
    <x v="1"/>
    <s v="Yes"/>
    <s v="No"/>
    <s v="Critical"/>
    <x v="0"/>
    <x v="3"/>
    <x v="1"/>
  </r>
  <r>
    <x v="443"/>
    <s v="10-B"/>
    <x v="2"/>
    <n v="56.4"/>
    <n v="100"/>
    <n v="64"/>
    <x v="0"/>
    <s v="No"/>
    <s v="Yes"/>
    <s v="Low"/>
    <x v="0"/>
    <x v="0"/>
    <x v="1"/>
  </r>
  <r>
    <x v="444"/>
    <s v="10-A"/>
    <x v="1"/>
    <n v="75.2"/>
    <n v="100"/>
    <n v="72"/>
    <x v="0"/>
    <s v="Yes"/>
    <s v="Yes"/>
    <s v="Low"/>
    <x v="0"/>
    <x v="1"/>
    <x v="1"/>
  </r>
  <r>
    <x v="445"/>
    <s v="10-B"/>
    <x v="1"/>
    <n v="42.9"/>
    <n v="100"/>
    <n v="99"/>
    <x v="1"/>
    <s v="No"/>
    <s v="Yes"/>
    <s v="Medium"/>
    <x v="0"/>
    <x v="3"/>
    <x v="0"/>
  </r>
  <r>
    <x v="446"/>
    <s v="10-C"/>
    <x v="0"/>
    <n v="55.3"/>
    <n v="100"/>
    <n v="53"/>
    <x v="1"/>
    <s v="Yes"/>
    <s v="Yes"/>
    <s v="Low"/>
    <x v="0"/>
    <x v="0"/>
    <x v="1"/>
  </r>
  <r>
    <x v="447"/>
    <s v="10-A"/>
    <x v="0"/>
    <n v="66.5"/>
    <n v="100"/>
    <n v="55"/>
    <x v="1"/>
    <s v="Yes"/>
    <s v="No"/>
    <s v="High"/>
    <x v="0"/>
    <x v="0"/>
    <x v="1"/>
  </r>
  <r>
    <x v="448"/>
    <s v="10-B"/>
    <x v="1"/>
    <n v="85.2"/>
    <n v="100"/>
    <n v="72"/>
    <x v="0"/>
    <s v="No"/>
    <s v="No"/>
    <s v="High"/>
    <x v="0"/>
    <x v="2"/>
    <x v="1"/>
  </r>
  <r>
    <x v="449"/>
    <s v="10-B"/>
    <x v="1"/>
    <n v="75.099999999999994"/>
    <n v="100"/>
    <n v="71"/>
    <x v="0"/>
    <s v="Yes"/>
    <s v="No"/>
    <s v="High"/>
    <x v="0"/>
    <x v="1"/>
    <x v="1"/>
  </r>
  <r>
    <x v="450"/>
    <s v="10-B"/>
    <x v="0"/>
    <n v="40.4"/>
    <n v="100"/>
    <n v="54"/>
    <x v="0"/>
    <s v="Yes"/>
    <s v="Yes"/>
    <s v="Medium"/>
    <x v="0"/>
    <x v="3"/>
    <x v="1"/>
  </r>
  <r>
    <x v="451"/>
    <s v="10-C"/>
    <x v="0"/>
    <n v="77"/>
    <n v="100"/>
    <n v="70"/>
    <x v="0"/>
    <s v="Yes"/>
    <s v="No"/>
    <s v="High"/>
    <x v="0"/>
    <x v="1"/>
    <x v="1"/>
  </r>
  <r>
    <x v="452"/>
    <s v="10-C"/>
    <x v="0"/>
    <n v="66.7"/>
    <n v="100"/>
    <n v="87"/>
    <x v="0"/>
    <s v="Yes"/>
    <s v="Yes"/>
    <s v="Low"/>
    <x v="0"/>
    <x v="0"/>
    <x v="0"/>
  </r>
  <r>
    <x v="453"/>
    <s v="10-A"/>
    <x v="1"/>
    <n v="83.9"/>
    <n v="100"/>
    <n v="89"/>
    <x v="1"/>
    <s v="Yes"/>
    <s v="No"/>
    <s v="High"/>
    <x v="0"/>
    <x v="1"/>
    <x v="0"/>
  </r>
  <r>
    <x v="454"/>
    <s v="10-B"/>
    <x v="1"/>
    <n v="72.599999999999994"/>
    <n v="100"/>
    <n v="66"/>
    <x v="1"/>
    <s v="No"/>
    <s v="Yes"/>
    <s v="Low"/>
    <x v="0"/>
    <x v="1"/>
    <x v="1"/>
  </r>
  <r>
    <x v="455"/>
    <s v="10-C"/>
    <x v="2"/>
    <n v="63.1"/>
    <n v="100"/>
    <n v="81"/>
    <x v="1"/>
    <s v="Yes"/>
    <s v="Yes"/>
    <s v="Low"/>
    <x v="0"/>
    <x v="0"/>
    <x v="2"/>
  </r>
  <r>
    <x v="456"/>
    <s v="10-B"/>
    <x v="1"/>
    <n v="67"/>
    <n v="100"/>
    <n v="60"/>
    <x v="1"/>
    <s v="No"/>
    <s v="Yes"/>
    <s v="Low"/>
    <x v="0"/>
    <x v="0"/>
    <x v="1"/>
  </r>
  <r>
    <x v="457"/>
    <s v="10-B"/>
    <x v="0"/>
    <n v="81.099999999999994"/>
    <n v="100"/>
    <n v="71"/>
    <x v="0"/>
    <s v="Yes"/>
    <s v="Yes"/>
    <s v="Low"/>
    <x v="0"/>
    <x v="1"/>
    <x v="1"/>
  </r>
  <r>
    <x v="458"/>
    <s v="10-B"/>
    <x v="0"/>
    <n v="56.6"/>
    <n v="100"/>
    <n v="56"/>
    <x v="0"/>
    <s v="Yes"/>
    <s v="Yes"/>
    <s v="Low"/>
    <x v="0"/>
    <x v="0"/>
    <x v="1"/>
  </r>
  <r>
    <x v="459"/>
    <s v="10-A"/>
    <x v="0"/>
    <n v="76.5"/>
    <n v="100"/>
    <n v="75"/>
    <x v="0"/>
    <s v="No"/>
    <s v="No"/>
    <s v="High"/>
    <x v="0"/>
    <x v="1"/>
    <x v="2"/>
  </r>
  <r>
    <x v="460"/>
    <s v="10-B"/>
    <x v="1"/>
    <n v="57.7"/>
    <n v="100"/>
    <n v="57"/>
    <x v="0"/>
    <s v="Yes"/>
    <s v="No"/>
    <s v="High"/>
    <x v="0"/>
    <x v="0"/>
    <x v="1"/>
  </r>
  <r>
    <x v="461"/>
    <s v="10-A"/>
    <x v="2"/>
    <n v="50.6"/>
    <n v="100"/>
    <n v="66"/>
    <x v="1"/>
    <s v="No"/>
    <s v="Yes"/>
    <s v="Low"/>
    <x v="0"/>
    <x v="0"/>
    <x v="1"/>
  </r>
  <r>
    <x v="462"/>
    <s v="10-A"/>
    <x v="1"/>
    <n v="71.3"/>
    <n v="100"/>
    <n v="83"/>
    <x v="1"/>
    <s v="Yes"/>
    <s v="Yes"/>
    <s v="Low"/>
    <x v="0"/>
    <x v="1"/>
    <x v="2"/>
  </r>
  <r>
    <x v="463"/>
    <s v="10-A"/>
    <x v="0"/>
    <n v="55.5"/>
    <n v="100"/>
    <n v="65"/>
    <x v="1"/>
    <s v="Yes"/>
    <s v="Yes"/>
    <s v="Low"/>
    <x v="0"/>
    <x v="0"/>
    <x v="1"/>
  </r>
  <r>
    <x v="464"/>
    <s v="10-B"/>
    <x v="1"/>
    <n v="49.8"/>
    <n v="100"/>
    <n v="88"/>
    <x v="0"/>
    <s v="Yes"/>
    <s v="No"/>
    <s v="Critical"/>
    <x v="0"/>
    <x v="3"/>
    <x v="0"/>
  </r>
  <r>
    <x v="465"/>
    <s v="10-B"/>
    <x v="2"/>
    <n v="47.7"/>
    <n v="100"/>
    <n v="47"/>
    <x v="0"/>
    <s v="Yes"/>
    <s v="Yes"/>
    <s v="Medium"/>
    <x v="0"/>
    <x v="3"/>
    <x v="1"/>
  </r>
  <r>
    <x v="466"/>
    <s v="10-A"/>
    <x v="0"/>
    <n v="73.8"/>
    <n v="100"/>
    <n v="88"/>
    <x v="0"/>
    <s v="Yes"/>
    <s v="Yes"/>
    <s v="Low"/>
    <x v="0"/>
    <x v="1"/>
    <x v="0"/>
  </r>
  <r>
    <x v="467"/>
    <s v="10-C"/>
    <x v="0"/>
    <n v="62.4"/>
    <n v="100"/>
    <n v="84"/>
    <x v="1"/>
    <s v="Yes"/>
    <s v="Yes"/>
    <s v="Low"/>
    <x v="0"/>
    <x v="0"/>
    <x v="2"/>
  </r>
  <r>
    <x v="468"/>
    <s v="10-C"/>
    <x v="0"/>
    <n v="84"/>
    <n v="100"/>
    <n v="50"/>
    <x v="0"/>
    <s v="Yes"/>
    <s v="Yes"/>
    <s v="Low"/>
    <x v="0"/>
    <x v="1"/>
    <x v="1"/>
  </r>
  <r>
    <x v="469"/>
    <s v="10-C"/>
    <x v="1"/>
    <n v="43.4"/>
    <n v="100"/>
    <n v="74"/>
    <x v="1"/>
    <s v="No"/>
    <s v="Yes"/>
    <s v="Medium"/>
    <x v="0"/>
    <x v="3"/>
    <x v="1"/>
  </r>
  <r>
    <x v="470"/>
    <s v="10-B"/>
    <x v="0"/>
    <n v="63.7"/>
    <n v="100"/>
    <n v="57"/>
    <x v="1"/>
    <s v="Yes"/>
    <s v="No"/>
    <s v="High"/>
    <x v="0"/>
    <x v="0"/>
    <x v="1"/>
  </r>
  <r>
    <x v="471"/>
    <s v="10-B"/>
    <x v="0"/>
    <n v="45.8"/>
    <n v="100"/>
    <n v="98"/>
    <x v="1"/>
    <s v="Yes"/>
    <s v="Yes"/>
    <s v="Medium"/>
    <x v="0"/>
    <x v="3"/>
    <x v="0"/>
  </r>
  <r>
    <x v="472"/>
    <s v="10-B"/>
    <x v="1"/>
    <n v="74.400000000000006"/>
    <n v="100"/>
    <n v="94"/>
    <x v="1"/>
    <s v="Yes"/>
    <s v="No"/>
    <s v="High"/>
    <x v="0"/>
    <x v="1"/>
    <x v="0"/>
  </r>
  <r>
    <x v="473"/>
    <s v="10-C"/>
    <x v="2"/>
    <n v="72"/>
    <n v="100"/>
    <n v="50"/>
    <x v="1"/>
    <s v="Yes"/>
    <s v="Yes"/>
    <s v="Low"/>
    <x v="0"/>
    <x v="1"/>
    <x v="1"/>
  </r>
  <r>
    <x v="474"/>
    <s v="10-C"/>
    <x v="0"/>
    <n v="36.4"/>
    <n v="100"/>
    <n v="54"/>
    <x v="1"/>
    <s v="Yes"/>
    <s v="Yes"/>
    <s v="Medium"/>
    <x v="1"/>
    <x v="3"/>
    <x v="1"/>
  </r>
  <r>
    <x v="475"/>
    <s v="10-C"/>
    <x v="2"/>
    <n v="62.8"/>
    <n v="100"/>
    <n v="58"/>
    <x v="1"/>
    <s v="Yes"/>
    <s v="Yes"/>
    <s v="Low"/>
    <x v="0"/>
    <x v="0"/>
    <x v="1"/>
  </r>
  <r>
    <x v="476"/>
    <s v="10-C"/>
    <x v="0"/>
    <n v="64.8"/>
    <n v="100"/>
    <n v="48"/>
    <x v="0"/>
    <s v="Yes"/>
    <s v="No"/>
    <s v="High"/>
    <x v="0"/>
    <x v="0"/>
    <x v="1"/>
  </r>
  <r>
    <x v="477"/>
    <s v="10-C"/>
    <x v="0"/>
    <n v="41.3"/>
    <n v="100"/>
    <n v="73"/>
    <x v="1"/>
    <s v="No"/>
    <s v="No"/>
    <s v="Critical"/>
    <x v="0"/>
    <x v="3"/>
    <x v="1"/>
  </r>
  <r>
    <x v="478"/>
    <s v="10-A"/>
    <x v="2"/>
    <n v="57.2"/>
    <n v="100"/>
    <n v="72"/>
    <x v="0"/>
    <s v="Yes"/>
    <s v="No"/>
    <s v="High"/>
    <x v="0"/>
    <x v="0"/>
    <x v="1"/>
  </r>
  <r>
    <x v="479"/>
    <s v="10-B"/>
    <x v="0"/>
    <n v="76.3"/>
    <n v="100"/>
    <n v="63"/>
    <x v="1"/>
    <s v="Yes"/>
    <s v="Yes"/>
    <s v="Low"/>
    <x v="0"/>
    <x v="1"/>
    <x v="1"/>
  </r>
  <r>
    <x v="480"/>
    <s v="10-A"/>
    <x v="2"/>
    <n v="37.799999999999997"/>
    <n v="100"/>
    <n v="48"/>
    <x v="0"/>
    <s v="Yes"/>
    <s v="Yes"/>
    <s v="Medium"/>
    <x v="1"/>
    <x v="3"/>
    <x v="1"/>
  </r>
  <r>
    <x v="481"/>
    <s v="10-C"/>
    <x v="1"/>
    <n v="55.1"/>
    <n v="100"/>
    <n v="51"/>
    <x v="0"/>
    <s v="No"/>
    <s v="Yes"/>
    <s v="Low"/>
    <x v="0"/>
    <x v="0"/>
    <x v="1"/>
  </r>
  <r>
    <x v="482"/>
    <s v="10-C"/>
    <x v="0"/>
    <n v="60.8"/>
    <n v="100"/>
    <n v="98"/>
    <x v="1"/>
    <s v="Yes"/>
    <s v="Yes"/>
    <s v="Low"/>
    <x v="0"/>
    <x v="0"/>
    <x v="0"/>
  </r>
  <r>
    <x v="483"/>
    <s v="10-A"/>
    <x v="2"/>
    <n v="65"/>
    <n v="100"/>
    <n v="60"/>
    <x v="0"/>
    <s v="Yes"/>
    <s v="No"/>
    <s v="High"/>
    <x v="0"/>
    <x v="0"/>
    <x v="1"/>
  </r>
  <r>
    <x v="484"/>
    <s v="10-C"/>
    <x v="0"/>
    <n v="78.3"/>
    <n v="100"/>
    <n v="93"/>
    <x v="0"/>
    <s v="No"/>
    <s v="Yes"/>
    <s v="Low"/>
    <x v="0"/>
    <x v="1"/>
    <x v="0"/>
  </r>
  <r>
    <x v="485"/>
    <s v="10-A"/>
    <x v="1"/>
    <n v="44.6"/>
    <n v="100"/>
    <n v="76"/>
    <x v="1"/>
    <s v="No"/>
    <s v="Yes"/>
    <s v="Medium"/>
    <x v="0"/>
    <x v="3"/>
    <x v="2"/>
  </r>
  <r>
    <x v="486"/>
    <s v="10-C"/>
    <x v="0"/>
    <n v="80.8"/>
    <n v="100"/>
    <n v="48"/>
    <x v="0"/>
    <s v="Yes"/>
    <s v="No"/>
    <s v="High"/>
    <x v="0"/>
    <x v="1"/>
    <x v="1"/>
  </r>
  <r>
    <x v="487"/>
    <s v="10-A"/>
    <x v="0"/>
    <n v="81.900000000000006"/>
    <n v="100"/>
    <n v="69"/>
    <x v="0"/>
    <s v="No"/>
    <s v="No"/>
    <s v="High"/>
    <x v="0"/>
    <x v="1"/>
    <x v="1"/>
  </r>
  <r>
    <x v="488"/>
    <s v="10-C"/>
    <x v="0"/>
    <n v="39.200000000000003"/>
    <n v="100"/>
    <n v="62"/>
    <x v="1"/>
    <s v="No"/>
    <s v="Yes"/>
    <s v="Medium"/>
    <x v="1"/>
    <x v="3"/>
    <x v="1"/>
  </r>
  <r>
    <x v="489"/>
    <s v="10-A"/>
    <x v="2"/>
    <n v="79"/>
    <n v="100"/>
    <n v="70"/>
    <x v="0"/>
    <s v="Yes"/>
    <s v="No"/>
    <s v="High"/>
    <x v="0"/>
    <x v="1"/>
    <x v="1"/>
  </r>
  <r>
    <x v="490"/>
    <s v="10-C"/>
    <x v="2"/>
    <n v="69.8"/>
    <n v="100"/>
    <n v="68"/>
    <x v="1"/>
    <s v="Yes"/>
    <s v="Yes"/>
    <s v="Low"/>
    <x v="0"/>
    <x v="0"/>
    <x v="1"/>
  </r>
  <r>
    <x v="491"/>
    <s v="10-A"/>
    <x v="2"/>
    <n v="51.5"/>
    <n v="100"/>
    <n v="55"/>
    <x v="1"/>
    <s v="Yes"/>
    <s v="Yes"/>
    <s v="Low"/>
    <x v="0"/>
    <x v="0"/>
    <x v="1"/>
  </r>
  <r>
    <x v="492"/>
    <s v="10-C"/>
    <x v="2"/>
    <n v="53.1"/>
    <n v="100"/>
    <n v="61"/>
    <x v="1"/>
    <s v="Yes"/>
    <s v="Yes"/>
    <s v="Low"/>
    <x v="0"/>
    <x v="0"/>
    <x v="1"/>
  </r>
  <r>
    <x v="493"/>
    <s v="10-B"/>
    <x v="1"/>
    <n v="47.3"/>
    <n v="100"/>
    <n v="83"/>
    <x v="1"/>
    <s v="Yes"/>
    <s v="Yes"/>
    <s v="Medium"/>
    <x v="0"/>
    <x v="3"/>
    <x v="2"/>
  </r>
  <r>
    <x v="494"/>
    <s v="10-C"/>
    <x v="2"/>
    <n v="45.3"/>
    <n v="100"/>
    <n v="83"/>
    <x v="1"/>
    <s v="Yes"/>
    <s v="Yes"/>
    <s v="Medium"/>
    <x v="0"/>
    <x v="3"/>
    <x v="2"/>
  </r>
  <r>
    <x v="495"/>
    <s v="10-A"/>
    <x v="0"/>
    <n v="75.900000000000006"/>
    <n v="100"/>
    <n v="99"/>
    <x v="0"/>
    <s v="Yes"/>
    <s v="No"/>
    <s v="High"/>
    <x v="0"/>
    <x v="1"/>
    <x v="0"/>
  </r>
  <r>
    <x v="496"/>
    <s v="10-A"/>
    <x v="0"/>
    <n v="63"/>
    <n v="100"/>
    <n v="50"/>
    <x v="0"/>
    <s v="Yes"/>
    <s v="Yes"/>
    <s v="Low"/>
    <x v="0"/>
    <x v="0"/>
    <x v="1"/>
  </r>
  <r>
    <x v="497"/>
    <s v="10-A"/>
    <x v="1"/>
    <n v="88.9"/>
    <n v="100"/>
    <n v="89"/>
    <x v="1"/>
    <s v="Yes"/>
    <s v="Yes"/>
    <s v="Low"/>
    <x v="0"/>
    <x v="2"/>
    <x v="0"/>
  </r>
  <r>
    <x v="498"/>
    <s v="10-B"/>
    <x v="1"/>
    <n v="88.7"/>
    <n v="100"/>
    <n v="97"/>
    <x v="0"/>
    <s v="No"/>
    <s v="No"/>
    <s v="High"/>
    <x v="0"/>
    <x v="2"/>
    <x v="0"/>
  </r>
  <r>
    <x v="499"/>
    <s v="10-C"/>
    <x v="0"/>
    <n v="43.8"/>
    <n v="100"/>
    <n v="48"/>
    <x v="0"/>
    <s v="Yes"/>
    <s v="No"/>
    <s v="Critical"/>
    <x v="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61C94-59C4-4871-B207-6665A253307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1" firstDataRow="2" firstDataCol="1"/>
  <pivotFields count="13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h="1"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0"/>
  </colFields>
  <colItems count="2">
    <i>
      <x/>
    </i>
    <i t="grand">
      <x/>
    </i>
  </colItems>
  <dataFields count="1">
    <dataField name="Count of Status" fld="10" subtotal="count" baseField="0" baseItem="0"/>
  </dataFields>
  <chartFormats count="4">
    <chartFormat chart="2" format="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6A818-24B5-41CC-83BE-D5831339CEF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13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Average of Marks Obtained" fld="3" subtotal="average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69240-2E07-4157-BC3E-711843F4EFA6}" name="PivotTable2" cacheId="9" applyNumberFormats="0" applyBorderFormats="0" applyFontFormats="0" applyPatternFormats="0" applyAlignmentFormats="0" applyWidthHeightFormats="1" dataCaption="Values" grandTotalCaption="Grand Average" updatedVersion="8" minRefreshableVersion="3" useAutoFormatting="1" itemPrintTitles="1" createdVersion="8" indent="0" outline="1" outlineData="1" multipleFieldFilters="0">
  <location ref="A14:B66" firstHeaderRow="1" firstDataRow="1" firstDataCol="1"/>
  <pivotFields count="13">
    <pivotField axis="axisRow" showAll="0" measureFilter="1" sortType="descending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 v="175"/>
    </i>
    <i>
      <x v="497"/>
    </i>
    <i>
      <x v="398"/>
    </i>
    <i>
      <x v="498"/>
    </i>
    <i>
      <x v="171"/>
    </i>
    <i>
      <x v="70"/>
    </i>
    <i>
      <x v="410"/>
    </i>
    <i>
      <x v="225"/>
    </i>
    <i>
      <x v="218"/>
    </i>
    <i>
      <x v="76"/>
    </i>
    <i>
      <x v="208"/>
    </i>
    <i>
      <x v="321"/>
    </i>
    <i>
      <x v="72"/>
    </i>
    <i>
      <x v="337"/>
    </i>
    <i>
      <x v="73"/>
    </i>
    <i>
      <x v="325"/>
    </i>
    <i>
      <x v="221"/>
    </i>
    <i>
      <x v="33"/>
    </i>
    <i>
      <x v="248"/>
    </i>
    <i>
      <x v="11"/>
    </i>
    <i>
      <x v="7"/>
    </i>
    <i>
      <x v="110"/>
    </i>
    <i>
      <x v="448"/>
    </i>
    <i>
      <x v="327"/>
    </i>
    <i>
      <x v="348"/>
    </i>
    <i>
      <x v="9"/>
    </i>
    <i>
      <x v="358"/>
    </i>
    <i>
      <x v="266"/>
    </i>
    <i>
      <x v="168"/>
    </i>
    <i>
      <x v="309"/>
    </i>
    <i>
      <x v="313"/>
    </i>
    <i>
      <x v="387"/>
    </i>
    <i>
      <x v="468"/>
    </i>
    <i>
      <x v="46"/>
    </i>
    <i>
      <x v="138"/>
    </i>
    <i>
      <x v="453"/>
    </i>
    <i>
      <x v="27"/>
    </i>
    <i>
      <x v="404"/>
    </i>
    <i>
      <x v="422"/>
    </i>
    <i>
      <x v="177"/>
    </i>
    <i>
      <x v="151"/>
    </i>
    <i>
      <x v="207"/>
    </i>
    <i>
      <x v="389"/>
    </i>
    <i>
      <x v="219"/>
    </i>
    <i>
      <x v="228"/>
    </i>
    <i>
      <x v="418"/>
    </i>
    <i>
      <x v="342"/>
    </i>
    <i>
      <x v="172"/>
    </i>
    <i>
      <x v="142"/>
    </i>
    <i>
      <x v="186"/>
    </i>
    <i>
      <x v="312"/>
    </i>
    <i t="grand">
      <x/>
    </i>
  </rowItems>
  <colItems count="1">
    <i/>
  </colItems>
  <dataFields count="1">
    <dataField name="Average of Marks Obtained" fld="3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BE549-3D98-4513-ABED-29AE1AE5DF8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13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-2"/>
    <field x="1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Average of Marks Obtained" fld="3" subtotal="average" baseField="0" baseItem="0"/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8F4B5-FBD3-44B4-A245-41844298DBF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B86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arks Obtained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7EDD9-BC3D-4F07-A194-4687C15B877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7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A5F42-DE77-425E-AA6D-C64DCF7A03DD}" name="Table1" displayName="Table1" ref="A3:M4" totalsRowShown="0">
  <autoFilter ref="A3:M4" xr:uid="{E73A5F42-DE77-425E-AA6D-C64DCF7A03DD}"/>
  <tableColumns count="13">
    <tableColumn id="1" xr3:uid="{793EFA3D-E131-4D47-B5C1-1384657D92D8}" name="Student ID"/>
    <tableColumn id="2" xr3:uid="{A626BC6B-826E-4DDF-85D4-4B647408B7A8}" name="Class"/>
    <tableColumn id="3" xr3:uid="{0A529AD0-F943-4348-B1F6-71884BBD0261}" name="Subject"/>
    <tableColumn id="4" xr3:uid="{AEA0C3E2-E66E-471A-BAFD-8F72593F0B93}" name="Marks Obtained"/>
    <tableColumn id="5" xr3:uid="{F201F000-3828-4CAD-ABCC-3007601A75E6}" name="Max Marks"/>
    <tableColumn id="6" xr3:uid="{BF7B2B6B-4666-4EEF-A1D5-14925A26EE64}" name="Attendance %"/>
    <tableColumn id="7" xr3:uid="{666DF67C-F685-4AA7-9590-353805A0F041}" name="Test Prep Course"/>
    <tableColumn id="8" xr3:uid="{85F86904-620E-4EEB-AEBF-ED69F2460B0B}" name="Tuition Status"/>
    <tableColumn id="9" xr3:uid="{77D6AF77-3BDD-4160-8CB1-CE2367A56FD9}" name="Internet Access"/>
    <tableColumn id="10" xr3:uid="{E50F7159-4F8D-4CDD-BB88-953A52A6A9AB}" name="Resource Need Level"/>
    <tableColumn id="11" xr3:uid="{570F1314-E642-48C0-9FF5-B02B5D06A5E6}" name="Status"/>
    <tableColumn id="12" xr3:uid="{38BFE911-483B-46A3-AAED-A97CFAC3859A}" name="Grade"/>
    <tableColumn id="13" xr3:uid="{2EC90794-EC00-4395-8FF7-712D16D3804A}" name="Attendance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9C9E8-3EDF-434D-B0FA-0BDB5271E572}" name="Table2" displayName="Table2" ref="A3:M4" totalsRowShown="0">
  <autoFilter ref="A3:M4" xr:uid="{7F99C9E8-3EDF-434D-B0FA-0BDB5271E572}"/>
  <tableColumns count="13">
    <tableColumn id="1" xr3:uid="{82E40615-D192-41CB-8FB5-0691278F4017}" name="Student ID"/>
    <tableColumn id="2" xr3:uid="{57260582-2F8C-42E8-910C-57FEAE8B879C}" name="Class"/>
    <tableColumn id="3" xr3:uid="{D06D8EE0-744B-4E98-A77C-E0185708F314}" name="Subject"/>
    <tableColumn id="4" xr3:uid="{A6B8AFA5-02CF-43A1-B72F-CF44FE7F61EE}" name="Marks Obtained"/>
    <tableColumn id="5" xr3:uid="{DB26641B-5EB6-4DE8-BCBD-37B230F73D48}" name="Max Marks"/>
    <tableColumn id="6" xr3:uid="{3B13DA90-D703-4AEC-8078-004B42C57812}" name="Attendance %"/>
    <tableColumn id="7" xr3:uid="{1500B430-9374-4965-82FE-7E956971ABEA}" name="Test Prep Course"/>
    <tableColumn id="8" xr3:uid="{96327996-77F3-4D53-8AB7-1D0FC0B53775}" name="Tuition Status"/>
    <tableColumn id="9" xr3:uid="{04B21400-5D4F-41F0-AA1C-7FDD61C88C72}" name="Internet Access"/>
    <tableColumn id="10" xr3:uid="{CACD5FE9-12A4-433B-9286-FA6A64D50BB2}" name="Resource Need Level"/>
    <tableColumn id="11" xr3:uid="{4DF20566-6E4B-4123-85B4-2942871B5618}" name="Status"/>
    <tableColumn id="12" xr3:uid="{984F02D0-9EED-464E-B913-F33B422814A0}" name="Grade"/>
    <tableColumn id="13" xr3:uid="{59626899-0BC6-4F0E-91B9-D73BB2AD3160}" name="Attendance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7F6E-FB1C-4450-81C5-3BE7FBAF6EF9}">
  <dimension ref="A3:C8"/>
  <sheetViews>
    <sheetView workbookViewId="0">
      <selection activeCell="B6" sqref="B6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4" width="10.77734375" bestFit="1" customWidth="1"/>
  </cols>
  <sheetData>
    <row r="3" spans="1:3" x14ac:dyDescent="0.3">
      <c r="A3" s="1" t="s">
        <v>57</v>
      </c>
      <c r="B3" s="1" t="s">
        <v>56</v>
      </c>
    </row>
    <row r="4" spans="1:3" x14ac:dyDescent="0.3">
      <c r="A4" s="1" t="s">
        <v>53</v>
      </c>
      <c r="B4" t="s">
        <v>55</v>
      </c>
      <c r="C4" t="s">
        <v>54</v>
      </c>
    </row>
    <row r="5" spans="1:3" x14ac:dyDescent="0.3">
      <c r="A5" s="2" t="s">
        <v>42</v>
      </c>
      <c r="B5" s="5">
        <v>9</v>
      </c>
      <c r="C5" s="5">
        <v>9</v>
      </c>
    </row>
    <row r="6" spans="1:3" x14ac:dyDescent="0.3">
      <c r="A6" s="2" t="s">
        <v>12</v>
      </c>
      <c r="B6" s="5">
        <v>5</v>
      </c>
      <c r="C6" s="5">
        <v>5</v>
      </c>
    </row>
    <row r="7" spans="1:3" x14ac:dyDescent="0.3">
      <c r="A7" s="2" t="s">
        <v>31</v>
      </c>
      <c r="B7" s="5">
        <v>13</v>
      </c>
      <c r="C7" s="5">
        <v>13</v>
      </c>
    </row>
    <row r="8" spans="1:3" x14ac:dyDescent="0.3">
      <c r="A8" s="2" t="s">
        <v>54</v>
      </c>
      <c r="B8" s="5">
        <v>27</v>
      </c>
      <c r="C8" s="5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CD0F-7FD6-4310-9997-26913B8B4C22}">
  <dimension ref="A3:D8"/>
  <sheetViews>
    <sheetView workbookViewId="0">
      <selection activeCell="D7" sqref="D7"/>
    </sheetView>
  </sheetViews>
  <sheetFormatPr defaultRowHeight="14.4" x14ac:dyDescent="0.3"/>
  <cols>
    <col min="1" max="1" width="24.33203125" bestFit="1" customWidth="1"/>
    <col min="2" max="2" width="15.5546875" bestFit="1" customWidth="1"/>
    <col min="3" max="4" width="12" bestFit="1" customWidth="1"/>
  </cols>
  <sheetData>
    <row r="3" spans="1:4" x14ac:dyDescent="0.3">
      <c r="A3" s="1" t="s">
        <v>58</v>
      </c>
      <c r="B3" s="1" t="s">
        <v>56</v>
      </c>
    </row>
    <row r="4" spans="1:4" x14ac:dyDescent="0.3">
      <c r="A4" s="1" t="s">
        <v>53</v>
      </c>
      <c r="B4" t="s">
        <v>19</v>
      </c>
      <c r="C4" t="s">
        <v>13</v>
      </c>
      <c r="D4" t="s">
        <v>54</v>
      </c>
    </row>
    <row r="5" spans="1:4" x14ac:dyDescent="0.3">
      <c r="A5" s="2" t="s">
        <v>42</v>
      </c>
      <c r="B5" s="5">
        <v>61.141176470588213</v>
      </c>
      <c r="C5" s="5">
        <v>63.931914893617005</v>
      </c>
      <c r="D5" s="5">
        <v>62.606703910614527</v>
      </c>
    </row>
    <row r="6" spans="1:4" x14ac:dyDescent="0.3">
      <c r="A6" s="2" t="s">
        <v>12</v>
      </c>
      <c r="B6" s="5">
        <v>63.171212121212122</v>
      </c>
      <c r="C6" s="5">
        <v>62.407777777777788</v>
      </c>
      <c r="D6" s="5">
        <v>62.730769230769205</v>
      </c>
    </row>
    <row r="7" spans="1:4" x14ac:dyDescent="0.3">
      <c r="A7" s="2" t="s">
        <v>31</v>
      </c>
      <c r="B7" s="5">
        <v>62.147959183673485</v>
      </c>
      <c r="C7" s="5">
        <v>64.222388059701458</v>
      </c>
      <c r="D7" s="5">
        <v>62.990303030303103</v>
      </c>
    </row>
    <row r="8" spans="1:4" x14ac:dyDescent="0.3">
      <c r="A8" s="2" t="s">
        <v>54</v>
      </c>
      <c r="B8" s="5">
        <v>62.075502008032089</v>
      </c>
      <c r="C8" s="5">
        <v>63.462948207171337</v>
      </c>
      <c r="D8" s="5">
        <v>62.77200000000002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200A-FF43-45B8-8DA3-4A622DBDCA76}">
  <dimension ref="A1"/>
  <sheetViews>
    <sheetView showGridLines="0" workbookViewId="0">
      <selection activeCell="H5" sqref="H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2A54-E331-4427-A159-D6ABE93EAF5D}">
  <dimension ref="A1:M4"/>
  <sheetViews>
    <sheetView workbookViewId="0">
      <selection activeCell="A8" sqref="A8"/>
    </sheetView>
  </sheetViews>
  <sheetFormatPr defaultRowHeight="14.4" x14ac:dyDescent="0.3"/>
  <cols>
    <col min="1" max="1" width="12.109375" bestFit="1" customWidth="1"/>
    <col min="2" max="2" width="9" bestFit="1" customWidth="1"/>
    <col min="3" max="3" width="9.5546875" bestFit="1" customWidth="1"/>
    <col min="4" max="4" width="16.77734375" bestFit="1" customWidth="1"/>
    <col min="5" max="5" width="12.5546875" bestFit="1" customWidth="1"/>
    <col min="6" max="6" width="14.88671875" bestFit="1" customWidth="1"/>
    <col min="7" max="7" width="17.33203125" bestFit="1" customWidth="1"/>
    <col min="8" max="8" width="14.77734375" bestFit="1" customWidth="1"/>
    <col min="9" max="9" width="16.109375" bestFit="1" customWidth="1"/>
    <col min="10" max="10" width="20.77734375" bestFit="1" customWidth="1"/>
    <col min="11" max="12" width="9" bestFit="1" customWidth="1"/>
    <col min="13" max="13" width="21.21875" bestFit="1" customWidth="1"/>
  </cols>
  <sheetData>
    <row r="1" spans="1:13" x14ac:dyDescent="0.3">
      <c r="A1" s="3" t="s">
        <v>544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52</v>
      </c>
      <c r="L3" t="s">
        <v>80</v>
      </c>
      <c r="M3" t="s">
        <v>84</v>
      </c>
    </row>
    <row r="4" spans="1:13" x14ac:dyDescent="0.3">
      <c r="A4" t="s">
        <v>10</v>
      </c>
      <c r="B4" t="s">
        <v>11</v>
      </c>
      <c r="C4" t="s">
        <v>12</v>
      </c>
      <c r="D4">
        <v>35</v>
      </c>
      <c r="E4">
        <v>100</v>
      </c>
      <c r="F4">
        <v>78</v>
      </c>
      <c r="G4" t="s">
        <v>13</v>
      </c>
      <c r="H4" t="s">
        <v>14</v>
      </c>
      <c r="I4" t="s">
        <v>15</v>
      </c>
      <c r="J4" t="s">
        <v>16</v>
      </c>
      <c r="K4" t="s">
        <v>55</v>
      </c>
      <c r="L4" t="s">
        <v>88</v>
      </c>
      <c r="M4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AB7E-35F4-44D2-A00C-089FDCAF8491}">
  <dimension ref="A1:M4"/>
  <sheetViews>
    <sheetView workbookViewId="0">
      <selection activeCell="C15" sqref="C15"/>
    </sheetView>
  </sheetViews>
  <sheetFormatPr defaultRowHeight="14.4" x14ac:dyDescent="0.3"/>
  <cols>
    <col min="1" max="1" width="12.109375" bestFit="1" customWidth="1"/>
    <col min="2" max="2" width="9" bestFit="1" customWidth="1"/>
    <col min="3" max="3" width="9.5546875" bestFit="1" customWidth="1"/>
    <col min="4" max="4" width="16.77734375" bestFit="1" customWidth="1"/>
    <col min="5" max="5" width="12.5546875" bestFit="1" customWidth="1"/>
    <col min="6" max="6" width="14.88671875" bestFit="1" customWidth="1"/>
    <col min="7" max="7" width="17.33203125" bestFit="1" customWidth="1"/>
    <col min="8" max="8" width="14.77734375" bestFit="1" customWidth="1"/>
    <col min="9" max="9" width="16.109375" bestFit="1" customWidth="1"/>
    <col min="10" max="10" width="20.77734375" bestFit="1" customWidth="1"/>
    <col min="11" max="12" width="9" bestFit="1" customWidth="1"/>
    <col min="13" max="13" width="21.21875" bestFit="1" customWidth="1"/>
  </cols>
  <sheetData>
    <row r="1" spans="1:13" x14ac:dyDescent="0.3">
      <c r="A1" s="3" t="s">
        <v>545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52</v>
      </c>
      <c r="L3" t="s">
        <v>80</v>
      </c>
      <c r="M3" t="s">
        <v>84</v>
      </c>
    </row>
    <row r="4" spans="1:13" x14ac:dyDescent="0.3">
      <c r="A4" t="s">
        <v>51</v>
      </c>
      <c r="B4" t="s">
        <v>27</v>
      </c>
      <c r="C4" t="s">
        <v>42</v>
      </c>
      <c r="D4">
        <v>98</v>
      </c>
      <c r="E4">
        <v>100</v>
      </c>
      <c r="F4">
        <v>99</v>
      </c>
      <c r="G4" t="s">
        <v>19</v>
      </c>
      <c r="H4" t="s">
        <v>15</v>
      </c>
      <c r="I4" t="s">
        <v>15</v>
      </c>
      <c r="J4" t="s">
        <v>20</v>
      </c>
      <c r="K4" t="s">
        <v>61</v>
      </c>
      <c r="L4" t="s">
        <v>81</v>
      </c>
      <c r="M4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31C7-21FD-403C-942C-78DAB4B4001C}">
  <dimension ref="A1:G86"/>
  <sheetViews>
    <sheetView topLeftCell="A46" workbookViewId="0">
      <selection activeCell="B20" sqref="B20"/>
    </sheetView>
  </sheetViews>
  <sheetFormatPr defaultRowHeight="14.4" x14ac:dyDescent="0.3"/>
  <cols>
    <col min="1" max="1" width="13.5546875" bestFit="1" customWidth="1"/>
    <col min="2" max="2" width="24.33203125" bestFit="1" customWidth="1"/>
    <col min="3" max="3" width="12" bestFit="1" customWidth="1"/>
    <col min="4" max="4" width="14.109375" bestFit="1" customWidth="1"/>
    <col min="5" max="5" width="4.6640625" bestFit="1" customWidth="1"/>
    <col min="6" max="6" width="29.109375" bestFit="1" customWidth="1"/>
    <col min="7" max="7" width="18.88671875" bestFit="1" customWidth="1"/>
  </cols>
  <sheetData>
    <row r="1" spans="1:7" x14ac:dyDescent="0.3">
      <c r="A1" t="s">
        <v>90</v>
      </c>
    </row>
    <row r="3" spans="1:7" x14ac:dyDescent="0.3">
      <c r="B3" s="1" t="s">
        <v>56</v>
      </c>
    </row>
    <row r="4" spans="1:7" x14ac:dyDescent="0.3">
      <c r="B4" t="s">
        <v>58</v>
      </c>
      <c r="D4" t="s">
        <v>57</v>
      </c>
      <c r="F4" t="s">
        <v>85</v>
      </c>
      <c r="G4" t="s">
        <v>86</v>
      </c>
    </row>
    <row r="5" spans="1:7" x14ac:dyDescent="0.3">
      <c r="A5" s="1" t="s">
        <v>53</v>
      </c>
      <c r="B5" t="s">
        <v>55</v>
      </c>
      <c r="C5" t="s">
        <v>61</v>
      </c>
      <c r="D5" t="s">
        <v>55</v>
      </c>
      <c r="E5" t="s">
        <v>61</v>
      </c>
    </row>
    <row r="6" spans="1:7" x14ac:dyDescent="0.3">
      <c r="A6" s="2" t="s">
        <v>42</v>
      </c>
      <c r="B6" s="5">
        <v>37.86666666666666</v>
      </c>
      <c r="C6" s="5">
        <v>63.916470588235228</v>
      </c>
      <c r="D6" s="5">
        <v>9</v>
      </c>
      <c r="E6" s="5">
        <v>170</v>
      </c>
      <c r="F6" s="5">
        <v>62.606703910614456</v>
      </c>
      <c r="G6" s="5">
        <v>179</v>
      </c>
    </row>
    <row r="7" spans="1:7" x14ac:dyDescent="0.3">
      <c r="A7" s="2" t="s">
        <v>12</v>
      </c>
      <c r="B7" s="5">
        <v>37.4</v>
      </c>
      <c r="C7" s="5">
        <v>63.569536423841058</v>
      </c>
      <c r="D7" s="5">
        <v>5</v>
      </c>
      <c r="E7" s="5">
        <v>151</v>
      </c>
      <c r="F7" s="5">
        <v>62.730769230769234</v>
      </c>
      <c r="G7" s="5">
        <v>156</v>
      </c>
    </row>
    <row r="8" spans="1:7" x14ac:dyDescent="0.3">
      <c r="A8" s="2" t="s">
        <v>31</v>
      </c>
      <c r="B8" s="5">
        <v>38.138461538461542</v>
      </c>
      <c r="C8" s="5">
        <v>65.115789473684217</v>
      </c>
      <c r="D8" s="5">
        <v>13</v>
      </c>
      <c r="E8" s="5">
        <v>152</v>
      </c>
      <c r="F8" s="5">
        <v>62.990303030303025</v>
      </c>
      <c r="G8" s="5">
        <v>165</v>
      </c>
    </row>
    <row r="9" spans="1:7" x14ac:dyDescent="0.3">
      <c r="A9" s="2" t="s">
        <v>54</v>
      </c>
      <c r="B9" s="5">
        <v>37.911111111111111</v>
      </c>
      <c r="C9" s="5">
        <v>64.191120507399518</v>
      </c>
      <c r="D9" s="5">
        <v>27</v>
      </c>
      <c r="E9" s="5">
        <v>473</v>
      </c>
      <c r="F9" s="5">
        <v>62.77199999999997</v>
      </c>
      <c r="G9" s="5">
        <v>500</v>
      </c>
    </row>
    <row r="12" spans="1:7" x14ac:dyDescent="0.3">
      <c r="A12" t="s">
        <v>91</v>
      </c>
    </row>
    <row r="14" spans="1:7" x14ac:dyDescent="0.3">
      <c r="A14" s="1" t="s">
        <v>53</v>
      </c>
      <c r="B14" t="s">
        <v>58</v>
      </c>
    </row>
    <row r="15" spans="1:7" x14ac:dyDescent="0.3">
      <c r="A15" s="2" t="s">
        <v>219</v>
      </c>
      <c r="B15" s="5">
        <v>90</v>
      </c>
    </row>
    <row r="16" spans="1:7" x14ac:dyDescent="0.3">
      <c r="A16" s="2" t="s">
        <v>541</v>
      </c>
      <c r="B16" s="5">
        <v>88.9</v>
      </c>
    </row>
    <row r="17" spans="1:2" x14ac:dyDescent="0.3">
      <c r="A17" s="2" t="s">
        <v>442</v>
      </c>
      <c r="B17" s="5">
        <v>88.8</v>
      </c>
    </row>
    <row r="18" spans="1:2" x14ac:dyDescent="0.3">
      <c r="A18" s="2" t="s">
        <v>542</v>
      </c>
      <c r="B18" s="5">
        <v>88.7</v>
      </c>
    </row>
    <row r="19" spans="1:2" x14ac:dyDescent="0.3">
      <c r="A19" s="2" t="s">
        <v>215</v>
      </c>
      <c r="B19" s="5">
        <v>88.5</v>
      </c>
    </row>
    <row r="20" spans="1:2" x14ac:dyDescent="0.3">
      <c r="A20" s="2" t="s">
        <v>114</v>
      </c>
      <c r="B20" s="5">
        <v>88.1</v>
      </c>
    </row>
    <row r="21" spans="1:2" x14ac:dyDescent="0.3">
      <c r="A21" s="2" t="s">
        <v>454</v>
      </c>
      <c r="B21" s="5">
        <v>87.9</v>
      </c>
    </row>
    <row r="22" spans="1:2" x14ac:dyDescent="0.3">
      <c r="A22" s="2" t="s">
        <v>269</v>
      </c>
      <c r="B22" s="5">
        <v>87.7</v>
      </c>
    </row>
    <row r="23" spans="1:2" x14ac:dyDescent="0.3">
      <c r="A23" s="2" t="s">
        <v>262</v>
      </c>
      <c r="B23" s="5">
        <v>87.5</v>
      </c>
    </row>
    <row r="24" spans="1:2" x14ac:dyDescent="0.3">
      <c r="A24" s="2" t="s">
        <v>120</v>
      </c>
      <c r="B24" s="5">
        <v>87.4</v>
      </c>
    </row>
    <row r="25" spans="1:2" x14ac:dyDescent="0.3">
      <c r="A25" s="2" t="s">
        <v>252</v>
      </c>
      <c r="B25" s="5">
        <v>86.9</v>
      </c>
    </row>
    <row r="26" spans="1:2" x14ac:dyDescent="0.3">
      <c r="A26" s="2" t="s">
        <v>365</v>
      </c>
      <c r="B26" s="5">
        <v>86.7</v>
      </c>
    </row>
    <row r="27" spans="1:2" x14ac:dyDescent="0.3">
      <c r="A27" s="2" t="s">
        <v>116</v>
      </c>
      <c r="B27" s="5">
        <v>86.7</v>
      </c>
    </row>
    <row r="28" spans="1:2" x14ac:dyDescent="0.3">
      <c r="A28" s="2" t="s">
        <v>381</v>
      </c>
      <c r="B28" s="5">
        <v>86.2</v>
      </c>
    </row>
    <row r="29" spans="1:2" x14ac:dyDescent="0.3">
      <c r="A29" s="2" t="s">
        <v>117</v>
      </c>
      <c r="B29" s="5">
        <v>86.1</v>
      </c>
    </row>
    <row r="30" spans="1:2" x14ac:dyDescent="0.3">
      <c r="A30" s="2" t="s">
        <v>369</v>
      </c>
      <c r="B30" s="5">
        <v>86</v>
      </c>
    </row>
    <row r="31" spans="1:2" x14ac:dyDescent="0.3">
      <c r="A31" s="2" t="s">
        <v>265</v>
      </c>
      <c r="B31" s="5">
        <v>85.8</v>
      </c>
    </row>
    <row r="32" spans="1:2" x14ac:dyDescent="0.3">
      <c r="A32" s="2" t="s">
        <v>63</v>
      </c>
      <c r="B32" s="5">
        <v>85.7</v>
      </c>
    </row>
    <row r="33" spans="1:2" x14ac:dyDescent="0.3">
      <c r="A33" s="2" t="s">
        <v>292</v>
      </c>
      <c r="B33" s="5">
        <v>85.7</v>
      </c>
    </row>
    <row r="34" spans="1:2" x14ac:dyDescent="0.3">
      <c r="A34" s="2" t="s">
        <v>32</v>
      </c>
      <c r="B34" s="5">
        <v>85.5</v>
      </c>
    </row>
    <row r="35" spans="1:2" x14ac:dyDescent="0.3">
      <c r="A35" s="2" t="s">
        <v>26</v>
      </c>
      <c r="B35" s="5">
        <v>85.5</v>
      </c>
    </row>
    <row r="36" spans="1:2" x14ac:dyDescent="0.3">
      <c r="A36" s="2" t="s">
        <v>154</v>
      </c>
      <c r="B36" s="5">
        <v>85.5</v>
      </c>
    </row>
    <row r="37" spans="1:2" x14ac:dyDescent="0.3">
      <c r="A37" s="2" t="s">
        <v>492</v>
      </c>
      <c r="B37" s="5">
        <v>85.2</v>
      </c>
    </row>
    <row r="38" spans="1:2" x14ac:dyDescent="0.3">
      <c r="A38" s="2" t="s">
        <v>371</v>
      </c>
      <c r="B38" s="5">
        <v>85.2</v>
      </c>
    </row>
    <row r="39" spans="1:2" x14ac:dyDescent="0.3">
      <c r="A39" s="2" t="s">
        <v>392</v>
      </c>
      <c r="B39" s="5">
        <v>85.2</v>
      </c>
    </row>
    <row r="40" spans="1:2" x14ac:dyDescent="0.3">
      <c r="A40" s="2" t="s">
        <v>29</v>
      </c>
      <c r="B40" s="5">
        <v>85</v>
      </c>
    </row>
    <row r="41" spans="1:2" x14ac:dyDescent="0.3">
      <c r="A41" s="2" t="s">
        <v>402</v>
      </c>
      <c r="B41" s="5">
        <v>85</v>
      </c>
    </row>
    <row r="42" spans="1:2" x14ac:dyDescent="0.3">
      <c r="A42" s="2" t="s">
        <v>310</v>
      </c>
      <c r="B42" s="5">
        <v>84.9</v>
      </c>
    </row>
    <row r="43" spans="1:2" x14ac:dyDescent="0.3">
      <c r="A43" s="2" t="s">
        <v>212</v>
      </c>
      <c r="B43" s="5">
        <v>84.8</v>
      </c>
    </row>
    <row r="44" spans="1:2" x14ac:dyDescent="0.3">
      <c r="A44" s="2" t="s">
        <v>353</v>
      </c>
      <c r="B44" s="5">
        <v>84.8</v>
      </c>
    </row>
    <row r="45" spans="1:2" x14ac:dyDescent="0.3">
      <c r="A45" s="2" t="s">
        <v>357</v>
      </c>
      <c r="B45" s="5">
        <v>84.7</v>
      </c>
    </row>
    <row r="46" spans="1:2" x14ac:dyDescent="0.3">
      <c r="A46" s="2" t="s">
        <v>431</v>
      </c>
      <c r="B46" s="5">
        <v>84.6</v>
      </c>
    </row>
    <row r="47" spans="1:2" x14ac:dyDescent="0.3">
      <c r="A47" s="2" t="s">
        <v>512</v>
      </c>
      <c r="B47" s="5">
        <v>84</v>
      </c>
    </row>
    <row r="48" spans="1:2" x14ac:dyDescent="0.3">
      <c r="A48" s="2" t="s">
        <v>76</v>
      </c>
      <c r="B48" s="5">
        <v>84</v>
      </c>
    </row>
    <row r="49" spans="1:2" x14ac:dyDescent="0.3">
      <c r="A49" s="2" t="s">
        <v>182</v>
      </c>
      <c r="B49" s="5">
        <v>83.9</v>
      </c>
    </row>
    <row r="50" spans="1:2" x14ac:dyDescent="0.3">
      <c r="A50" s="2" t="s">
        <v>497</v>
      </c>
      <c r="B50" s="5">
        <v>83.9</v>
      </c>
    </row>
    <row r="51" spans="1:2" x14ac:dyDescent="0.3">
      <c r="A51" s="2" t="s">
        <v>49</v>
      </c>
      <c r="B51" s="5">
        <v>83.9</v>
      </c>
    </row>
    <row r="52" spans="1:2" x14ac:dyDescent="0.3">
      <c r="A52" s="2" t="s">
        <v>448</v>
      </c>
      <c r="B52" s="5">
        <v>83.5</v>
      </c>
    </row>
    <row r="53" spans="1:2" x14ac:dyDescent="0.3">
      <c r="A53" s="2" t="s">
        <v>466</v>
      </c>
      <c r="B53" s="5">
        <v>83.4</v>
      </c>
    </row>
    <row r="54" spans="1:2" x14ac:dyDescent="0.3">
      <c r="A54" s="2" t="s">
        <v>221</v>
      </c>
      <c r="B54" s="5">
        <v>83.4</v>
      </c>
    </row>
    <row r="55" spans="1:2" x14ac:dyDescent="0.3">
      <c r="A55" s="2" t="s">
        <v>195</v>
      </c>
      <c r="B55" s="5">
        <v>83.1</v>
      </c>
    </row>
    <row r="56" spans="1:2" x14ac:dyDescent="0.3">
      <c r="A56" s="2" t="s">
        <v>251</v>
      </c>
      <c r="B56" s="5">
        <v>83.1</v>
      </c>
    </row>
    <row r="57" spans="1:2" x14ac:dyDescent="0.3">
      <c r="A57" s="2" t="s">
        <v>433</v>
      </c>
      <c r="B57" s="5">
        <v>83</v>
      </c>
    </row>
    <row r="58" spans="1:2" x14ac:dyDescent="0.3">
      <c r="A58" s="2" t="s">
        <v>263</v>
      </c>
      <c r="B58" s="5">
        <v>82.9</v>
      </c>
    </row>
    <row r="59" spans="1:2" x14ac:dyDescent="0.3">
      <c r="A59" s="2" t="s">
        <v>272</v>
      </c>
      <c r="B59" s="5">
        <v>82.8</v>
      </c>
    </row>
    <row r="60" spans="1:2" x14ac:dyDescent="0.3">
      <c r="A60" s="2" t="s">
        <v>462</v>
      </c>
      <c r="B60" s="5">
        <v>82.8</v>
      </c>
    </row>
    <row r="61" spans="1:2" x14ac:dyDescent="0.3">
      <c r="A61" s="2" t="s">
        <v>386</v>
      </c>
      <c r="B61" s="5">
        <v>82.7</v>
      </c>
    </row>
    <row r="62" spans="1:2" x14ac:dyDescent="0.3">
      <c r="A62" s="2" t="s">
        <v>216</v>
      </c>
      <c r="B62" s="5">
        <v>82.5</v>
      </c>
    </row>
    <row r="63" spans="1:2" x14ac:dyDescent="0.3">
      <c r="A63" s="2" t="s">
        <v>186</v>
      </c>
      <c r="B63" s="5">
        <v>82.3</v>
      </c>
    </row>
    <row r="64" spans="1:2" x14ac:dyDescent="0.3">
      <c r="A64" s="2" t="s">
        <v>230</v>
      </c>
      <c r="B64" s="5">
        <v>82.1</v>
      </c>
    </row>
    <row r="65" spans="1:2" x14ac:dyDescent="0.3">
      <c r="A65" s="2" t="s">
        <v>356</v>
      </c>
      <c r="B65" s="5">
        <v>82.1</v>
      </c>
    </row>
    <row r="66" spans="1:2" x14ac:dyDescent="0.3">
      <c r="A66" s="2" t="s">
        <v>87</v>
      </c>
      <c r="B66" s="5">
        <v>85.188235294117618</v>
      </c>
    </row>
    <row r="69" spans="1:2" x14ac:dyDescent="0.3">
      <c r="A69" t="s">
        <v>92</v>
      </c>
    </row>
    <row r="71" spans="1:2" x14ac:dyDescent="0.3">
      <c r="A71" s="1" t="s">
        <v>53</v>
      </c>
      <c r="B71" t="s">
        <v>89</v>
      </c>
    </row>
    <row r="72" spans="1:2" x14ac:dyDescent="0.3">
      <c r="A72" s="2" t="s">
        <v>81</v>
      </c>
      <c r="B72" s="5">
        <v>27</v>
      </c>
    </row>
    <row r="73" spans="1:2" x14ac:dyDescent="0.3">
      <c r="A73" s="2" t="s">
        <v>82</v>
      </c>
      <c r="B73" s="5">
        <v>158</v>
      </c>
    </row>
    <row r="74" spans="1:2" x14ac:dyDescent="0.3">
      <c r="A74" s="2" t="s">
        <v>83</v>
      </c>
      <c r="B74" s="5">
        <v>189</v>
      </c>
    </row>
    <row r="75" spans="1:2" x14ac:dyDescent="0.3">
      <c r="A75" s="2" t="s">
        <v>88</v>
      </c>
      <c r="B75" s="5">
        <v>126</v>
      </c>
    </row>
    <row r="76" spans="1:2" x14ac:dyDescent="0.3">
      <c r="A76" s="2" t="s">
        <v>54</v>
      </c>
      <c r="B76" s="5">
        <v>500</v>
      </c>
    </row>
    <row r="80" spans="1:2" x14ac:dyDescent="0.3">
      <c r="A80" s="3" t="s">
        <v>93</v>
      </c>
    </row>
    <row r="82" spans="1:2" x14ac:dyDescent="0.3">
      <c r="A82" s="1" t="s">
        <v>53</v>
      </c>
      <c r="B82" t="s">
        <v>58</v>
      </c>
    </row>
    <row r="83" spans="1:2" x14ac:dyDescent="0.3">
      <c r="A83" s="2" t="s">
        <v>16</v>
      </c>
      <c r="B83" s="5">
        <v>64.633082706766899</v>
      </c>
    </row>
    <row r="84" spans="1:2" x14ac:dyDescent="0.3">
      <c r="A84" s="2" t="s">
        <v>20</v>
      </c>
      <c r="B84" s="5">
        <v>61.747651006711372</v>
      </c>
    </row>
    <row r="85" spans="1:2" x14ac:dyDescent="0.3">
      <c r="A85" s="2" t="s">
        <v>22</v>
      </c>
      <c r="B85" s="5">
        <v>63.608695652173914</v>
      </c>
    </row>
    <row r="86" spans="1:2" x14ac:dyDescent="0.3">
      <c r="A86" s="2" t="s">
        <v>54</v>
      </c>
      <c r="B86" s="5">
        <v>62.771999999999963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1C3A-22C0-42C3-BF61-D6CBD83A3306}">
  <dimension ref="A1:M501"/>
  <sheetViews>
    <sheetView tabSelected="1" workbookViewId="0">
      <selection activeCell="R18" sqref="R1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80</v>
      </c>
      <c r="M1" t="s">
        <v>84</v>
      </c>
    </row>
    <row r="2" spans="1:13" x14ac:dyDescent="0.3">
      <c r="A2" t="s">
        <v>10</v>
      </c>
      <c r="B2" t="str">
        <f ca="1">CHOOSE(RANDBETWEEN(1,3), "10-A", "10-B", "10-C")</f>
        <v>10-B</v>
      </c>
      <c r="C2" t="str">
        <f ca="1">CHOOSE(RANDBETWEEN(1,3), "Math", "Science", "English")</f>
        <v>English</v>
      </c>
      <c r="D2">
        <f ca="1">MIN(100, RANDBETWEEN(30, 80) + (F2/10))</f>
        <v>48.9</v>
      </c>
      <c r="E2">
        <v>100</v>
      </c>
      <c r="F2">
        <f ca="1">RANDBETWEEN(40, 100)</f>
        <v>79</v>
      </c>
      <c r="G2" t="str">
        <f ca="1">IF(RANDBETWEEN(0,1)=1, "Completed", "None")</f>
        <v>None</v>
      </c>
      <c r="H2" t="str">
        <f ca="1">IF(RANDBETWEEN(1,10)&gt;3, "Yes", "No")</f>
        <v>No</v>
      </c>
      <c r="I2" t="str">
        <f ca="1">IF(RANDBETWEEN(1,10)&gt;3, "Yes", "No")</f>
        <v>No</v>
      </c>
      <c r="J2" t="str">
        <f ca="1">IF(TRIM(I2)="No", IF(VALUE(D2)&lt;50, "Critical", "High"), IF(VALUE(D2)&lt;50, "Medium", "Low"))</f>
        <v>Critical</v>
      </c>
      <c r="K2" t="str">
        <f ca="1">IF(D2&gt;=40, "Pass", "Fail")</f>
        <v>Pass</v>
      </c>
      <c r="L2" s="4" t="str" cm="1">
        <f t="array" aca="1" ref="L2" ca="1">_xlfn.IFS(D2&gt;=85,"A", D2&gt;=70,"B", D2&gt;=50,"C", D2&lt;50,"D")</f>
        <v>D</v>
      </c>
      <c r="M2" t="str">
        <f ca="1">IF(F2&gt;=85, "High", IF(F2&gt;=75, "Medium", "Low"))</f>
        <v>Medium</v>
      </c>
    </row>
    <row r="3" spans="1:13" x14ac:dyDescent="0.3">
      <c r="A3" t="s">
        <v>17</v>
      </c>
      <c r="B3" t="str">
        <f t="shared" ref="B3:B66" ca="1" si="0">CHOOSE(RANDBETWEEN(1,3), "10-A", "10-B", "10-C")</f>
        <v>10-C</v>
      </c>
      <c r="C3" t="str">
        <f t="shared" ref="C3:C66" ca="1" si="1">CHOOSE(RANDBETWEEN(1,3), "Math", "Science", "English")</f>
        <v>Science</v>
      </c>
      <c r="D3">
        <f t="shared" ref="D3:D66" ca="1" si="2">MIN(100, RANDBETWEEN(30, 80) + (F3/10))</f>
        <v>49.3</v>
      </c>
      <c r="E3">
        <v>100</v>
      </c>
      <c r="F3">
        <f t="shared" ref="F3:F66" ca="1" si="3">RANDBETWEEN(40, 100)</f>
        <v>63</v>
      </c>
      <c r="G3" t="str">
        <f t="shared" ref="G3:G66" ca="1" si="4">IF(RANDBETWEEN(0,1)=1, "Completed", "None")</f>
        <v>Completed</v>
      </c>
      <c r="H3" t="str">
        <f t="shared" ref="H3:H66" ca="1" si="5">IF(RANDBETWEEN(1,10)&gt;3, "Yes", "No")</f>
        <v>Yes</v>
      </c>
      <c r="I3" t="str">
        <f t="shared" ref="I3:I66" ca="1" si="6">IF(RANDBETWEEN(1,10)&gt;3, "Yes", "No")</f>
        <v>Yes</v>
      </c>
      <c r="J3" t="str">
        <f t="shared" ref="J3:J66" ca="1" si="7">IF(TRIM(I3)="No", IF(VALUE(D3)&lt;50, "Critical", "High"), IF(VALUE(D3)&lt;50, "Medium", "Low"))</f>
        <v>Medium</v>
      </c>
      <c r="K3" t="str">
        <f t="shared" ref="K3:K66" ca="1" si="8">IF(D3&gt;=40, "Pass", "Fail")</f>
        <v>Pass</v>
      </c>
      <c r="L3" s="4" t="str" cm="1">
        <f t="array" aca="1" ref="L3" ca="1">_xlfn.IFS(D3&gt;=85,"A", D3&gt;=70,"B", D3&gt;=50,"C", D3&lt;50,"D")</f>
        <v>D</v>
      </c>
      <c r="M3" t="str">
        <f t="shared" ref="M3:M66" ca="1" si="9">IF(F3&gt;=85, "High", IF(F3&gt;=75, "Medium", "Low"))</f>
        <v>Low</v>
      </c>
    </row>
    <row r="4" spans="1:13" x14ac:dyDescent="0.3">
      <c r="A4" t="s">
        <v>18</v>
      </c>
      <c r="B4" t="str">
        <f t="shared" ca="1" si="0"/>
        <v>10-B</v>
      </c>
      <c r="C4" t="str">
        <f t="shared" ca="1" si="1"/>
        <v>Science</v>
      </c>
      <c r="D4">
        <f t="shared" ca="1" si="2"/>
        <v>73.2</v>
      </c>
      <c r="E4">
        <v>100</v>
      </c>
      <c r="F4">
        <f t="shared" ca="1" si="3"/>
        <v>42</v>
      </c>
      <c r="G4" t="str">
        <f t="shared" ca="1" si="4"/>
        <v>None</v>
      </c>
      <c r="H4" t="str">
        <f t="shared" ca="1" si="5"/>
        <v>No</v>
      </c>
      <c r="I4" t="str">
        <f t="shared" ca="1" si="6"/>
        <v>Yes</v>
      </c>
      <c r="J4" t="str">
        <f t="shared" ca="1" si="7"/>
        <v>Low</v>
      </c>
      <c r="K4" t="str">
        <f t="shared" ca="1" si="8"/>
        <v>Pass</v>
      </c>
      <c r="L4" s="4" t="str" cm="1">
        <f t="array" aca="1" ref="L4" ca="1">_xlfn.IFS(D4&gt;=85,"A", D4&gt;=70,"B", D4&gt;=50,"C", D4&lt;50,"D")</f>
        <v>B</v>
      </c>
      <c r="M4" t="str">
        <f t="shared" ca="1" si="9"/>
        <v>Low</v>
      </c>
    </row>
    <row r="5" spans="1:13" x14ac:dyDescent="0.3">
      <c r="A5" t="s">
        <v>21</v>
      </c>
      <c r="B5" t="str">
        <f t="shared" ca="1" si="0"/>
        <v>10-C</v>
      </c>
      <c r="C5" t="str">
        <f t="shared" ca="1" si="1"/>
        <v>English</v>
      </c>
      <c r="D5">
        <f t="shared" ca="1" si="2"/>
        <v>75.099999999999994</v>
      </c>
      <c r="E5">
        <v>100</v>
      </c>
      <c r="F5">
        <f t="shared" ca="1" si="3"/>
        <v>91</v>
      </c>
      <c r="G5" t="str">
        <f t="shared" ca="1" si="4"/>
        <v>Completed</v>
      </c>
      <c r="H5" t="str">
        <f t="shared" ca="1" si="5"/>
        <v>No</v>
      </c>
      <c r="I5" t="str">
        <f t="shared" ca="1" si="6"/>
        <v>Yes</v>
      </c>
      <c r="J5" t="str">
        <f t="shared" ca="1" si="7"/>
        <v>Low</v>
      </c>
      <c r="K5" t="str">
        <f t="shared" ca="1" si="8"/>
        <v>Pass</v>
      </c>
      <c r="L5" s="4" t="str" cm="1">
        <f t="array" aca="1" ref="L5" ca="1">_xlfn.IFS(D5&gt;=85,"A", D5&gt;=70,"B", D5&gt;=50,"C", D5&lt;50,"D")</f>
        <v>B</v>
      </c>
      <c r="M5" t="str">
        <f t="shared" ca="1" si="9"/>
        <v>High</v>
      </c>
    </row>
    <row r="6" spans="1:13" x14ac:dyDescent="0.3">
      <c r="A6" t="s">
        <v>23</v>
      </c>
      <c r="B6" t="str">
        <f t="shared" ca="1" si="0"/>
        <v>10-B</v>
      </c>
      <c r="C6" t="str">
        <f t="shared" ca="1" si="1"/>
        <v>Science</v>
      </c>
      <c r="D6">
        <f t="shared" ca="1" si="2"/>
        <v>75.099999999999994</v>
      </c>
      <c r="E6">
        <v>100</v>
      </c>
      <c r="F6">
        <f t="shared" ca="1" si="3"/>
        <v>81</v>
      </c>
      <c r="G6" t="str">
        <f t="shared" ca="1" si="4"/>
        <v>None</v>
      </c>
      <c r="H6" t="str">
        <f t="shared" ca="1" si="5"/>
        <v>Yes</v>
      </c>
      <c r="I6" t="str">
        <f t="shared" ca="1" si="6"/>
        <v>Yes</v>
      </c>
      <c r="J6" t="str">
        <f t="shared" ca="1" si="7"/>
        <v>Low</v>
      </c>
      <c r="K6" t="str">
        <f t="shared" ca="1" si="8"/>
        <v>Pass</v>
      </c>
      <c r="L6" s="4" t="str" cm="1">
        <f t="array" aca="1" ref="L6" ca="1">_xlfn.IFS(D6&gt;=85,"A", D6&gt;=70,"B", D6&gt;=50,"C", D6&lt;50,"D")</f>
        <v>B</v>
      </c>
      <c r="M6" t="str">
        <f t="shared" ca="1" si="9"/>
        <v>Medium</v>
      </c>
    </row>
    <row r="7" spans="1:13" x14ac:dyDescent="0.3">
      <c r="A7" t="s">
        <v>24</v>
      </c>
      <c r="B7" t="str">
        <f t="shared" ca="1" si="0"/>
        <v>10-C</v>
      </c>
      <c r="C7" t="str">
        <f t="shared" ca="1" si="1"/>
        <v>Math</v>
      </c>
      <c r="D7">
        <f t="shared" ca="1" si="2"/>
        <v>83.8</v>
      </c>
      <c r="E7">
        <v>100</v>
      </c>
      <c r="F7">
        <f t="shared" ca="1" si="3"/>
        <v>48</v>
      </c>
      <c r="G7" t="str">
        <f t="shared" ca="1" si="4"/>
        <v>None</v>
      </c>
      <c r="H7" t="str">
        <f t="shared" ca="1" si="5"/>
        <v>Yes</v>
      </c>
      <c r="I7" t="str">
        <f t="shared" ca="1" si="6"/>
        <v>No</v>
      </c>
      <c r="J7" t="str">
        <f t="shared" ca="1" si="7"/>
        <v>High</v>
      </c>
      <c r="K7" t="str">
        <f t="shared" ca="1" si="8"/>
        <v>Pass</v>
      </c>
      <c r="L7" s="4" t="str" cm="1">
        <f t="array" aca="1" ref="L7" ca="1">_xlfn.IFS(D7&gt;=85,"A", D7&gt;=70,"B", D7&gt;=50,"C", D7&lt;50,"D")</f>
        <v>B</v>
      </c>
      <c r="M7" t="str">
        <f t="shared" ca="1" si="9"/>
        <v>Low</v>
      </c>
    </row>
    <row r="8" spans="1:13" x14ac:dyDescent="0.3">
      <c r="A8" t="s">
        <v>25</v>
      </c>
      <c r="B8" t="str">
        <f t="shared" ca="1" si="0"/>
        <v>10-A</v>
      </c>
      <c r="C8" t="str">
        <f t="shared" ca="1" si="1"/>
        <v>Math</v>
      </c>
      <c r="D8">
        <f t="shared" ca="1" si="2"/>
        <v>65</v>
      </c>
      <c r="E8">
        <v>100</v>
      </c>
      <c r="F8">
        <f t="shared" ca="1" si="3"/>
        <v>90</v>
      </c>
      <c r="G8" t="str">
        <f t="shared" ca="1" si="4"/>
        <v>Completed</v>
      </c>
      <c r="H8" t="str">
        <f t="shared" ca="1" si="5"/>
        <v>No</v>
      </c>
      <c r="I8" t="str">
        <f t="shared" ca="1" si="6"/>
        <v>No</v>
      </c>
      <c r="J8" t="str">
        <f t="shared" ca="1" si="7"/>
        <v>High</v>
      </c>
      <c r="K8" t="str">
        <f t="shared" ca="1" si="8"/>
        <v>Pass</v>
      </c>
      <c r="L8" s="4" t="str" cm="1">
        <f t="array" aca="1" ref="L8" ca="1">_xlfn.IFS(D8&gt;=85,"A", D8&gt;=70,"B", D8&gt;=50,"C", D8&lt;50,"D")</f>
        <v>C</v>
      </c>
      <c r="M8" t="str">
        <f t="shared" ca="1" si="9"/>
        <v>High</v>
      </c>
    </row>
    <row r="9" spans="1:13" x14ac:dyDescent="0.3">
      <c r="A9" t="s">
        <v>26</v>
      </c>
      <c r="B9" t="str">
        <f t="shared" ca="1" si="0"/>
        <v>10-A</v>
      </c>
      <c r="C9" t="str">
        <f t="shared" ca="1" si="1"/>
        <v>English</v>
      </c>
      <c r="D9">
        <f t="shared" ca="1" si="2"/>
        <v>67.900000000000006</v>
      </c>
      <c r="E9">
        <v>100</v>
      </c>
      <c r="F9">
        <f t="shared" ca="1" si="3"/>
        <v>89</v>
      </c>
      <c r="G9" t="str">
        <f t="shared" ca="1" si="4"/>
        <v>Completed</v>
      </c>
      <c r="H9" t="str">
        <f t="shared" ca="1" si="5"/>
        <v>Yes</v>
      </c>
      <c r="I9" t="str">
        <f t="shared" ca="1" si="6"/>
        <v>No</v>
      </c>
      <c r="J9" t="str">
        <f t="shared" ca="1" si="7"/>
        <v>High</v>
      </c>
      <c r="K9" t="str">
        <f t="shared" ca="1" si="8"/>
        <v>Pass</v>
      </c>
      <c r="L9" s="4" t="str" cm="1">
        <f t="array" aca="1" ref="L9" ca="1">_xlfn.IFS(D9&gt;=85,"A", D9&gt;=70,"B", D9&gt;=50,"C", D9&lt;50,"D")</f>
        <v>C</v>
      </c>
      <c r="M9" t="str">
        <f t="shared" ca="1" si="9"/>
        <v>High</v>
      </c>
    </row>
    <row r="10" spans="1:13" x14ac:dyDescent="0.3">
      <c r="A10" t="s">
        <v>28</v>
      </c>
      <c r="B10" t="str">
        <f t="shared" ca="1" si="0"/>
        <v>10-A</v>
      </c>
      <c r="C10" t="str">
        <f t="shared" ca="1" si="1"/>
        <v>English</v>
      </c>
      <c r="D10">
        <f t="shared" ca="1" si="2"/>
        <v>57.1</v>
      </c>
      <c r="E10">
        <v>100</v>
      </c>
      <c r="F10">
        <f t="shared" ca="1" si="3"/>
        <v>41</v>
      </c>
      <c r="G10" t="str">
        <f t="shared" ca="1" si="4"/>
        <v>None</v>
      </c>
      <c r="H10" t="str">
        <f t="shared" ca="1" si="5"/>
        <v>Yes</v>
      </c>
      <c r="I10" t="str">
        <f t="shared" ca="1" si="6"/>
        <v>No</v>
      </c>
      <c r="J10" t="str">
        <f t="shared" ca="1" si="7"/>
        <v>High</v>
      </c>
      <c r="K10" t="str">
        <f t="shared" ca="1" si="8"/>
        <v>Pass</v>
      </c>
      <c r="L10" s="4" t="str" cm="1">
        <f t="array" aca="1" ref="L10" ca="1">_xlfn.IFS(D10&gt;=85,"A", D10&gt;=70,"B", D10&gt;=50,"C", D10&lt;50,"D")</f>
        <v>C</v>
      </c>
      <c r="M10" t="str">
        <f t="shared" ca="1" si="9"/>
        <v>Low</v>
      </c>
    </row>
    <row r="11" spans="1:13" x14ac:dyDescent="0.3">
      <c r="A11" t="s">
        <v>29</v>
      </c>
      <c r="B11" t="str">
        <f t="shared" ca="1" si="0"/>
        <v>10-A</v>
      </c>
      <c r="C11" t="str">
        <f t="shared" ca="1" si="1"/>
        <v>Math</v>
      </c>
      <c r="D11">
        <f t="shared" ca="1" si="2"/>
        <v>61.1</v>
      </c>
      <c r="E11">
        <v>100</v>
      </c>
      <c r="F11">
        <f t="shared" ca="1" si="3"/>
        <v>91</v>
      </c>
      <c r="G11" t="str">
        <f t="shared" ca="1" si="4"/>
        <v>Completed</v>
      </c>
      <c r="H11" t="str">
        <f t="shared" ca="1" si="5"/>
        <v>Yes</v>
      </c>
      <c r="I11" t="str">
        <f t="shared" ca="1" si="6"/>
        <v>No</v>
      </c>
      <c r="J11" t="str">
        <f t="shared" ca="1" si="7"/>
        <v>High</v>
      </c>
      <c r="K11" t="str">
        <f t="shared" ca="1" si="8"/>
        <v>Pass</v>
      </c>
      <c r="L11" s="4" t="str" cm="1">
        <f t="array" aca="1" ref="L11" ca="1">_xlfn.IFS(D11&gt;=85,"A", D11&gt;=70,"B", D11&gt;=50,"C", D11&lt;50,"D")</f>
        <v>C</v>
      </c>
      <c r="M11" t="str">
        <f t="shared" ca="1" si="9"/>
        <v>High</v>
      </c>
    </row>
    <row r="12" spans="1:13" x14ac:dyDescent="0.3">
      <c r="A12" t="s">
        <v>30</v>
      </c>
      <c r="B12" t="str">
        <f t="shared" ca="1" si="0"/>
        <v>10-C</v>
      </c>
      <c r="C12" t="str">
        <f t="shared" ca="1" si="1"/>
        <v>Math</v>
      </c>
      <c r="D12">
        <f t="shared" ca="1" si="2"/>
        <v>46.1</v>
      </c>
      <c r="E12">
        <v>100</v>
      </c>
      <c r="F12">
        <f t="shared" ca="1" si="3"/>
        <v>91</v>
      </c>
      <c r="G12" t="str">
        <f t="shared" ca="1" si="4"/>
        <v>None</v>
      </c>
      <c r="H12" t="str">
        <f t="shared" ca="1" si="5"/>
        <v>Yes</v>
      </c>
      <c r="I12" t="str">
        <f t="shared" ca="1" si="6"/>
        <v>No</v>
      </c>
      <c r="J12" t="str">
        <f t="shared" ca="1" si="7"/>
        <v>Critical</v>
      </c>
      <c r="K12" t="str">
        <f t="shared" ca="1" si="8"/>
        <v>Pass</v>
      </c>
      <c r="L12" s="4" t="str" cm="1">
        <f t="array" aca="1" ref="L12" ca="1">_xlfn.IFS(D12&gt;=85,"A", D12&gt;=70,"B", D12&gt;=50,"C", D12&lt;50,"D")</f>
        <v>D</v>
      </c>
      <c r="M12" t="str">
        <f t="shared" ca="1" si="9"/>
        <v>High</v>
      </c>
    </row>
    <row r="13" spans="1:13" x14ac:dyDescent="0.3">
      <c r="A13" t="s">
        <v>32</v>
      </c>
      <c r="B13" t="str">
        <f t="shared" ca="1" si="0"/>
        <v>10-B</v>
      </c>
      <c r="C13" t="str">
        <f t="shared" ca="1" si="1"/>
        <v>Science</v>
      </c>
      <c r="D13">
        <f t="shared" ca="1" si="2"/>
        <v>61.3</v>
      </c>
      <c r="E13">
        <v>100</v>
      </c>
      <c r="F13">
        <f t="shared" ca="1" si="3"/>
        <v>83</v>
      </c>
      <c r="G13" t="str">
        <f t="shared" ca="1" si="4"/>
        <v>Completed</v>
      </c>
      <c r="H13" t="str">
        <f t="shared" ca="1" si="5"/>
        <v>Yes</v>
      </c>
      <c r="I13" t="str">
        <f t="shared" ca="1" si="6"/>
        <v>Yes</v>
      </c>
      <c r="J13" t="str">
        <f t="shared" ca="1" si="7"/>
        <v>Low</v>
      </c>
      <c r="K13" t="str">
        <f t="shared" ca="1" si="8"/>
        <v>Pass</v>
      </c>
      <c r="L13" s="4" t="str" cm="1">
        <f t="array" aca="1" ref="L13" ca="1">_xlfn.IFS(D13&gt;=85,"A", D13&gt;=70,"B", D13&gt;=50,"C", D13&lt;50,"D")</f>
        <v>C</v>
      </c>
      <c r="M13" t="str">
        <f t="shared" ca="1" si="9"/>
        <v>Medium</v>
      </c>
    </row>
    <row r="14" spans="1:13" x14ac:dyDescent="0.3">
      <c r="A14" t="s">
        <v>33</v>
      </c>
      <c r="B14" t="str">
        <f t="shared" ca="1" si="0"/>
        <v>10-B</v>
      </c>
      <c r="C14" t="str">
        <f t="shared" ca="1" si="1"/>
        <v>English</v>
      </c>
      <c r="D14">
        <f t="shared" ca="1" si="2"/>
        <v>54</v>
      </c>
      <c r="E14">
        <v>100</v>
      </c>
      <c r="F14">
        <f t="shared" ca="1" si="3"/>
        <v>100</v>
      </c>
      <c r="G14" t="str">
        <f t="shared" ca="1" si="4"/>
        <v>Completed</v>
      </c>
      <c r="H14" t="str">
        <f t="shared" ca="1" si="5"/>
        <v>Yes</v>
      </c>
      <c r="I14" t="str">
        <f t="shared" ca="1" si="6"/>
        <v>Yes</v>
      </c>
      <c r="J14" t="str">
        <f t="shared" ca="1" si="7"/>
        <v>Low</v>
      </c>
      <c r="K14" t="str">
        <f t="shared" ca="1" si="8"/>
        <v>Pass</v>
      </c>
      <c r="L14" s="4" t="str" cm="1">
        <f t="array" aca="1" ref="L14" ca="1">_xlfn.IFS(D14&gt;=85,"A", D14&gt;=70,"B", D14&gt;=50,"C", D14&lt;50,"D")</f>
        <v>C</v>
      </c>
      <c r="M14" t="str">
        <f t="shared" ca="1" si="9"/>
        <v>High</v>
      </c>
    </row>
    <row r="15" spans="1:13" x14ac:dyDescent="0.3">
      <c r="A15" t="s">
        <v>34</v>
      </c>
      <c r="B15" t="str">
        <f t="shared" ca="1" si="0"/>
        <v>10-A</v>
      </c>
      <c r="C15" t="str">
        <f t="shared" ca="1" si="1"/>
        <v>Math</v>
      </c>
      <c r="D15">
        <f t="shared" ca="1" si="2"/>
        <v>61.9</v>
      </c>
      <c r="E15">
        <v>100</v>
      </c>
      <c r="F15">
        <f t="shared" ca="1" si="3"/>
        <v>99</v>
      </c>
      <c r="G15" t="str">
        <f t="shared" ca="1" si="4"/>
        <v>Completed</v>
      </c>
      <c r="H15" t="str">
        <f t="shared" ca="1" si="5"/>
        <v>Yes</v>
      </c>
      <c r="I15" t="str">
        <f t="shared" ca="1" si="6"/>
        <v>Yes</v>
      </c>
      <c r="J15" t="str">
        <f t="shared" ca="1" si="7"/>
        <v>Low</v>
      </c>
      <c r="K15" t="str">
        <f t="shared" ca="1" si="8"/>
        <v>Pass</v>
      </c>
      <c r="L15" s="4" t="str" cm="1">
        <f t="array" aca="1" ref="L15" ca="1">_xlfn.IFS(D15&gt;=85,"A", D15&gt;=70,"B", D15&gt;=50,"C", D15&lt;50,"D")</f>
        <v>C</v>
      </c>
      <c r="M15" t="str">
        <f t="shared" ca="1" si="9"/>
        <v>High</v>
      </c>
    </row>
    <row r="16" spans="1:13" x14ac:dyDescent="0.3">
      <c r="A16" t="s">
        <v>35</v>
      </c>
      <c r="B16" t="str">
        <f t="shared" ca="1" si="0"/>
        <v>10-C</v>
      </c>
      <c r="C16" t="str">
        <f t="shared" ca="1" si="1"/>
        <v>English</v>
      </c>
      <c r="D16">
        <f t="shared" ca="1" si="2"/>
        <v>47.5</v>
      </c>
      <c r="E16">
        <v>100</v>
      </c>
      <c r="F16">
        <f t="shared" ca="1" si="3"/>
        <v>95</v>
      </c>
      <c r="G16" t="str">
        <f t="shared" ca="1" si="4"/>
        <v>Completed</v>
      </c>
      <c r="H16" t="str">
        <f t="shared" ca="1" si="5"/>
        <v>No</v>
      </c>
      <c r="I16" t="str">
        <f t="shared" ca="1" si="6"/>
        <v>No</v>
      </c>
      <c r="J16" t="str">
        <f t="shared" ca="1" si="7"/>
        <v>Critical</v>
      </c>
      <c r="K16" t="str">
        <f t="shared" ca="1" si="8"/>
        <v>Pass</v>
      </c>
      <c r="L16" s="4" t="str" cm="1">
        <f t="array" aca="1" ref="L16" ca="1">_xlfn.IFS(D16&gt;=85,"A", D16&gt;=70,"B", D16&gt;=50,"C", D16&lt;50,"D")</f>
        <v>D</v>
      </c>
      <c r="M16" t="str">
        <f t="shared" ca="1" si="9"/>
        <v>High</v>
      </c>
    </row>
    <row r="17" spans="1:13" x14ac:dyDescent="0.3">
      <c r="A17" t="s">
        <v>36</v>
      </c>
      <c r="B17" t="str">
        <f t="shared" ca="1" si="0"/>
        <v>10-C</v>
      </c>
      <c r="C17" t="str">
        <f t="shared" ca="1" si="1"/>
        <v>Math</v>
      </c>
      <c r="D17">
        <f t="shared" ca="1" si="2"/>
        <v>76.7</v>
      </c>
      <c r="E17">
        <v>100</v>
      </c>
      <c r="F17">
        <f t="shared" ca="1" si="3"/>
        <v>67</v>
      </c>
      <c r="G17" t="str">
        <f t="shared" ca="1" si="4"/>
        <v>Completed</v>
      </c>
      <c r="H17" t="str">
        <f t="shared" ca="1" si="5"/>
        <v>Yes</v>
      </c>
      <c r="I17" t="str">
        <f t="shared" ca="1" si="6"/>
        <v>Yes</v>
      </c>
      <c r="J17" t="str">
        <f t="shared" ca="1" si="7"/>
        <v>Low</v>
      </c>
      <c r="K17" t="str">
        <f t="shared" ca="1" si="8"/>
        <v>Pass</v>
      </c>
      <c r="L17" s="4" t="str" cm="1">
        <f t="array" aca="1" ref="L17" ca="1">_xlfn.IFS(D17&gt;=85,"A", D17&gt;=70,"B", D17&gt;=50,"C", D17&lt;50,"D")</f>
        <v>B</v>
      </c>
      <c r="M17" t="str">
        <f t="shared" ca="1" si="9"/>
        <v>Low</v>
      </c>
    </row>
    <row r="18" spans="1:13" x14ac:dyDescent="0.3">
      <c r="A18" t="s">
        <v>37</v>
      </c>
      <c r="B18" t="str">
        <f t="shared" ca="1" si="0"/>
        <v>10-A</v>
      </c>
      <c r="C18" t="str">
        <f t="shared" ca="1" si="1"/>
        <v>Science</v>
      </c>
      <c r="D18">
        <f t="shared" ca="1" si="2"/>
        <v>42</v>
      </c>
      <c r="E18">
        <v>100</v>
      </c>
      <c r="F18">
        <f t="shared" ca="1" si="3"/>
        <v>90</v>
      </c>
      <c r="G18" t="str">
        <f t="shared" ca="1" si="4"/>
        <v>Completed</v>
      </c>
      <c r="H18" t="str">
        <f t="shared" ca="1" si="5"/>
        <v>Yes</v>
      </c>
      <c r="I18" t="str">
        <f t="shared" ca="1" si="6"/>
        <v>Yes</v>
      </c>
      <c r="J18" t="str">
        <f t="shared" ca="1" si="7"/>
        <v>Medium</v>
      </c>
      <c r="K18" t="str">
        <f t="shared" ca="1" si="8"/>
        <v>Pass</v>
      </c>
      <c r="L18" s="4" t="str" cm="1">
        <f t="array" aca="1" ref="L18" ca="1">_xlfn.IFS(D18&gt;=85,"A", D18&gt;=70,"B", D18&gt;=50,"C", D18&lt;50,"D")</f>
        <v>D</v>
      </c>
      <c r="M18" t="str">
        <f t="shared" ca="1" si="9"/>
        <v>High</v>
      </c>
    </row>
    <row r="19" spans="1:13" x14ac:dyDescent="0.3">
      <c r="A19" t="s">
        <v>38</v>
      </c>
      <c r="B19" t="str">
        <f t="shared" ca="1" si="0"/>
        <v>10-C</v>
      </c>
      <c r="C19" t="str">
        <f t="shared" ca="1" si="1"/>
        <v>English</v>
      </c>
      <c r="D19">
        <f t="shared" ca="1" si="2"/>
        <v>76.2</v>
      </c>
      <c r="E19">
        <v>100</v>
      </c>
      <c r="F19">
        <f t="shared" ca="1" si="3"/>
        <v>42</v>
      </c>
      <c r="G19" t="str">
        <f t="shared" ca="1" si="4"/>
        <v>None</v>
      </c>
      <c r="H19" t="str">
        <f t="shared" ca="1" si="5"/>
        <v>Yes</v>
      </c>
      <c r="I19" t="str">
        <f t="shared" ca="1" si="6"/>
        <v>No</v>
      </c>
      <c r="J19" t="str">
        <f t="shared" ca="1" si="7"/>
        <v>High</v>
      </c>
      <c r="K19" t="str">
        <f t="shared" ca="1" si="8"/>
        <v>Pass</v>
      </c>
      <c r="L19" s="4" t="str" cm="1">
        <f t="array" aca="1" ref="L19" ca="1">_xlfn.IFS(D19&gt;=85,"A", D19&gt;=70,"B", D19&gt;=50,"C", D19&lt;50,"D")</f>
        <v>B</v>
      </c>
      <c r="M19" t="str">
        <f t="shared" ca="1" si="9"/>
        <v>Low</v>
      </c>
    </row>
    <row r="20" spans="1:13" x14ac:dyDescent="0.3">
      <c r="A20" t="s">
        <v>39</v>
      </c>
      <c r="B20" t="str">
        <f t="shared" ca="1" si="0"/>
        <v>10-A</v>
      </c>
      <c r="C20" t="str">
        <f t="shared" ca="1" si="1"/>
        <v>Math</v>
      </c>
      <c r="D20">
        <f t="shared" ca="1" si="2"/>
        <v>69.599999999999994</v>
      </c>
      <c r="E20">
        <v>100</v>
      </c>
      <c r="F20">
        <f t="shared" ca="1" si="3"/>
        <v>96</v>
      </c>
      <c r="G20" t="str">
        <f t="shared" ca="1" si="4"/>
        <v>None</v>
      </c>
      <c r="H20" t="str">
        <f t="shared" ca="1" si="5"/>
        <v>No</v>
      </c>
      <c r="I20" t="str">
        <f t="shared" ca="1" si="6"/>
        <v>No</v>
      </c>
      <c r="J20" t="str">
        <f t="shared" ca="1" si="7"/>
        <v>High</v>
      </c>
      <c r="K20" t="str">
        <f t="shared" ca="1" si="8"/>
        <v>Pass</v>
      </c>
      <c r="L20" s="4" t="str" cm="1">
        <f t="array" aca="1" ref="L20" ca="1">_xlfn.IFS(D20&gt;=85,"A", D20&gt;=70,"B", D20&gt;=50,"C", D20&lt;50,"D")</f>
        <v>C</v>
      </c>
      <c r="M20" t="str">
        <f t="shared" ca="1" si="9"/>
        <v>High</v>
      </c>
    </row>
    <row r="21" spans="1:13" x14ac:dyDescent="0.3">
      <c r="A21" t="s">
        <v>40</v>
      </c>
      <c r="B21" t="str">
        <f t="shared" ca="1" si="0"/>
        <v>10-A</v>
      </c>
      <c r="C21" t="str">
        <f t="shared" ca="1" si="1"/>
        <v>English</v>
      </c>
      <c r="D21">
        <f t="shared" ca="1" si="2"/>
        <v>65.2</v>
      </c>
      <c r="E21">
        <v>100</v>
      </c>
      <c r="F21">
        <f t="shared" ca="1" si="3"/>
        <v>62</v>
      </c>
      <c r="G21" t="str">
        <f t="shared" ca="1" si="4"/>
        <v>Completed</v>
      </c>
      <c r="H21" t="str">
        <f t="shared" ca="1" si="5"/>
        <v>Yes</v>
      </c>
      <c r="I21" t="str">
        <f t="shared" ca="1" si="6"/>
        <v>Yes</v>
      </c>
      <c r="J21" t="str">
        <f t="shared" ca="1" si="7"/>
        <v>Low</v>
      </c>
      <c r="K21" t="str">
        <f t="shared" ca="1" si="8"/>
        <v>Pass</v>
      </c>
      <c r="L21" s="4" t="str" cm="1">
        <f t="array" aca="1" ref="L21" ca="1">_xlfn.IFS(D21&gt;=85,"A", D21&gt;=70,"B", D21&gt;=50,"C", D21&lt;50,"D")</f>
        <v>C</v>
      </c>
      <c r="M21" t="str">
        <f t="shared" ca="1" si="9"/>
        <v>Low</v>
      </c>
    </row>
    <row r="22" spans="1:13" x14ac:dyDescent="0.3">
      <c r="A22" t="s">
        <v>41</v>
      </c>
      <c r="B22" t="str">
        <f t="shared" ca="1" si="0"/>
        <v>10-A</v>
      </c>
      <c r="C22" t="str">
        <f t="shared" ca="1" si="1"/>
        <v>Math</v>
      </c>
      <c r="D22">
        <f t="shared" ca="1" si="2"/>
        <v>66.400000000000006</v>
      </c>
      <c r="E22">
        <v>100</v>
      </c>
      <c r="F22">
        <f t="shared" ca="1" si="3"/>
        <v>94</v>
      </c>
      <c r="G22" t="str">
        <f t="shared" ca="1" si="4"/>
        <v>None</v>
      </c>
      <c r="H22" t="str">
        <f t="shared" ca="1" si="5"/>
        <v>No</v>
      </c>
      <c r="I22" t="str">
        <f t="shared" ca="1" si="6"/>
        <v>Yes</v>
      </c>
      <c r="J22" t="str">
        <f t="shared" ca="1" si="7"/>
        <v>Low</v>
      </c>
      <c r="K22" t="str">
        <f t="shared" ca="1" si="8"/>
        <v>Pass</v>
      </c>
      <c r="L22" s="4" t="str" cm="1">
        <f t="array" aca="1" ref="L22" ca="1">_xlfn.IFS(D22&gt;=85,"A", D22&gt;=70,"B", D22&gt;=50,"C", D22&lt;50,"D")</f>
        <v>C</v>
      </c>
      <c r="M22" t="str">
        <f t="shared" ca="1" si="9"/>
        <v>High</v>
      </c>
    </row>
    <row r="23" spans="1:13" x14ac:dyDescent="0.3">
      <c r="A23" t="s">
        <v>43</v>
      </c>
      <c r="B23" t="str">
        <f t="shared" ca="1" si="0"/>
        <v>10-A</v>
      </c>
      <c r="C23" t="str">
        <f t="shared" ca="1" si="1"/>
        <v>Math</v>
      </c>
      <c r="D23">
        <f t="shared" ca="1" si="2"/>
        <v>46.3</v>
      </c>
      <c r="E23">
        <v>100</v>
      </c>
      <c r="F23">
        <f t="shared" ca="1" si="3"/>
        <v>43</v>
      </c>
      <c r="G23" t="str">
        <f t="shared" ca="1" si="4"/>
        <v>None</v>
      </c>
      <c r="H23" t="str">
        <f t="shared" ca="1" si="5"/>
        <v>No</v>
      </c>
      <c r="I23" t="str">
        <f t="shared" ca="1" si="6"/>
        <v>Yes</v>
      </c>
      <c r="J23" t="str">
        <f t="shared" ca="1" si="7"/>
        <v>Medium</v>
      </c>
      <c r="K23" t="str">
        <f t="shared" ca="1" si="8"/>
        <v>Pass</v>
      </c>
      <c r="L23" s="4" t="str" cm="1">
        <f t="array" aca="1" ref="L23" ca="1">_xlfn.IFS(D23&gt;=85,"A", D23&gt;=70,"B", D23&gt;=50,"C", D23&lt;50,"D")</f>
        <v>D</v>
      </c>
      <c r="M23" t="str">
        <f t="shared" ca="1" si="9"/>
        <v>Low</v>
      </c>
    </row>
    <row r="24" spans="1:13" x14ac:dyDescent="0.3">
      <c r="A24" t="s">
        <v>44</v>
      </c>
      <c r="B24" t="str">
        <f t="shared" ca="1" si="0"/>
        <v>10-B</v>
      </c>
      <c r="C24" t="str">
        <f t="shared" ca="1" si="1"/>
        <v>English</v>
      </c>
      <c r="D24">
        <f t="shared" ca="1" si="2"/>
        <v>83</v>
      </c>
      <c r="E24">
        <v>100</v>
      </c>
      <c r="F24">
        <f t="shared" ca="1" si="3"/>
        <v>50</v>
      </c>
      <c r="G24" t="str">
        <f t="shared" ca="1" si="4"/>
        <v>None</v>
      </c>
      <c r="H24" t="str">
        <f t="shared" ca="1" si="5"/>
        <v>No</v>
      </c>
      <c r="I24" t="str">
        <f t="shared" ca="1" si="6"/>
        <v>Yes</v>
      </c>
      <c r="J24" t="str">
        <f t="shared" ca="1" si="7"/>
        <v>Low</v>
      </c>
      <c r="K24" t="str">
        <f t="shared" ca="1" si="8"/>
        <v>Pass</v>
      </c>
      <c r="L24" s="4" t="str" cm="1">
        <f t="array" aca="1" ref="L24" ca="1">_xlfn.IFS(D24&gt;=85,"A", D24&gt;=70,"B", D24&gt;=50,"C", D24&lt;50,"D")</f>
        <v>B</v>
      </c>
      <c r="M24" t="str">
        <f t="shared" ca="1" si="9"/>
        <v>Low</v>
      </c>
    </row>
    <row r="25" spans="1:13" x14ac:dyDescent="0.3">
      <c r="A25" t="s">
        <v>45</v>
      </c>
      <c r="B25" t="str">
        <f t="shared" ca="1" si="0"/>
        <v>10-A</v>
      </c>
      <c r="C25" t="str">
        <f t="shared" ca="1" si="1"/>
        <v>Science</v>
      </c>
      <c r="D25">
        <f t="shared" ca="1" si="2"/>
        <v>63.4</v>
      </c>
      <c r="E25">
        <v>100</v>
      </c>
      <c r="F25">
        <f t="shared" ca="1" si="3"/>
        <v>84</v>
      </c>
      <c r="G25" t="str">
        <f t="shared" ca="1" si="4"/>
        <v>None</v>
      </c>
      <c r="H25" t="str">
        <f t="shared" ca="1" si="5"/>
        <v>Yes</v>
      </c>
      <c r="I25" t="str">
        <f t="shared" ca="1" si="6"/>
        <v>No</v>
      </c>
      <c r="J25" t="str">
        <f t="shared" ca="1" si="7"/>
        <v>High</v>
      </c>
      <c r="K25" t="str">
        <f t="shared" ca="1" si="8"/>
        <v>Pass</v>
      </c>
      <c r="L25" s="4" t="str" cm="1">
        <f t="array" aca="1" ref="L25" ca="1">_xlfn.IFS(D25&gt;=85,"A", D25&gt;=70,"B", D25&gt;=50,"C", D25&lt;50,"D")</f>
        <v>C</v>
      </c>
      <c r="M25" t="str">
        <f t="shared" ca="1" si="9"/>
        <v>Medium</v>
      </c>
    </row>
    <row r="26" spans="1:13" x14ac:dyDescent="0.3">
      <c r="A26" t="s">
        <v>46</v>
      </c>
      <c r="B26" t="str">
        <f t="shared" ca="1" si="0"/>
        <v>10-C</v>
      </c>
      <c r="C26" t="str">
        <f t="shared" ca="1" si="1"/>
        <v>English</v>
      </c>
      <c r="D26">
        <f t="shared" ca="1" si="2"/>
        <v>86.4</v>
      </c>
      <c r="E26">
        <v>100</v>
      </c>
      <c r="F26">
        <f t="shared" ca="1" si="3"/>
        <v>84</v>
      </c>
      <c r="G26" t="str">
        <f t="shared" ca="1" si="4"/>
        <v>Completed</v>
      </c>
      <c r="H26" t="str">
        <f t="shared" ca="1" si="5"/>
        <v>No</v>
      </c>
      <c r="I26" t="str">
        <f t="shared" ca="1" si="6"/>
        <v>Yes</v>
      </c>
      <c r="J26" t="str">
        <f t="shared" ca="1" si="7"/>
        <v>Low</v>
      </c>
      <c r="K26" t="str">
        <f t="shared" ca="1" si="8"/>
        <v>Pass</v>
      </c>
      <c r="L26" s="4" t="str" cm="1">
        <f t="array" aca="1" ref="L26" ca="1">_xlfn.IFS(D26&gt;=85,"A", D26&gt;=70,"B", D26&gt;=50,"C", D26&lt;50,"D")</f>
        <v>A</v>
      </c>
      <c r="M26" t="str">
        <f t="shared" ca="1" si="9"/>
        <v>Medium</v>
      </c>
    </row>
    <row r="27" spans="1:13" x14ac:dyDescent="0.3">
      <c r="A27" t="s">
        <v>47</v>
      </c>
      <c r="B27" t="str">
        <f t="shared" ca="1" si="0"/>
        <v>10-A</v>
      </c>
      <c r="C27" t="str">
        <f t="shared" ca="1" si="1"/>
        <v>English</v>
      </c>
      <c r="D27">
        <f t="shared" ca="1" si="2"/>
        <v>70</v>
      </c>
      <c r="E27">
        <v>100</v>
      </c>
      <c r="F27">
        <f t="shared" ca="1" si="3"/>
        <v>60</v>
      </c>
      <c r="G27" t="str">
        <f t="shared" ca="1" si="4"/>
        <v>None</v>
      </c>
      <c r="H27" t="str">
        <f t="shared" ca="1" si="5"/>
        <v>Yes</v>
      </c>
      <c r="I27" t="str">
        <f t="shared" ca="1" si="6"/>
        <v>No</v>
      </c>
      <c r="J27" t="str">
        <f t="shared" ca="1" si="7"/>
        <v>High</v>
      </c>
      <c r="K27" t="str">
        <f t="shared" ca="1" si="8"/>
        <v>Pass</v>
      </c>
      <c r="L27" s="4" t="str" cm="1">
        <f t="array" aca="1" ref="L27" ca="1">_xlfn.IFS(D27&gt;=85,"A", D27&gt;=70,"B", D27&gt;=50,"C", D27&lt;50,"D")</f>
        <v>B</v>
      </c>
      <c r="M27" t="str">
        <f t="shared" ca="1" si="9"/>
        <v>Low</v>
      </c>
    </row>
    <row r="28" spans="1:13" x14ac:dyDescent="0.3">
      <c r="A28" t="s">
        <v>48</v>
      </c>
      <c r="B28" t="str">
        <f t="shared" ca="1" si="0"/>
        <v>10-C</v>
      </c>
      <c r="C28" t="str">
        <f t="shared" ca="1" si="1"/>
        <v>Science</v>
      </c>
      <c r="D28">
        <f t="shared" ca="1" si="2"/>
        <v>50.4</v>
      </c>
      <c r="E28">
        <v>100</v>
      </c>
      <c r="F28">
        <f t="shared" ca="1" si="3"/>
        <v>64</v>
      </c>
      <c r="G28" t="str">
        <f t="shared" ca="1" si="4"/>
        <v>None</v>
      </c>
      <c r="H28" t="str">
        <f t="shared" ca="1" si="5"/>
        <v>Yes</v>
      </c>
      <c r="I28" t="str">
        <f t="shared" ca="1" si="6"/>
        <v>No</v>
      </c>
      <c r="J28" t="str">
        <f t="shared" ca="1" si="7"/>
        <v>High</v>
      </c>
      <c r="K28" t="str">
        <f t="shared" ca="1" si="8"/>
        <v>Pass</v>
      </c>
      <c r="L28" s="4" t="str" cm="1">
        <f t="array" aca="1" ref="L28" ca="1">_xlfn.IFS(D28&gt;=85,"A", D28&gt;=70,"B", D28&gt;=50,"C", D28&lt;50,"D")</f>
        <v>C</v>
      </c>
      <c r="M28" t="str">
        <f t="shared" ca="1" si="9"/>
        <v>Low</v>
      </c>
    </row>
    <row r="29" spans="1:13" x14ac:dyDescent="0.3">
      <c r="A29" t="s">
        <v>49</v>
      </c>
      <c r="B29" t="str">
        <f t="shared" ca="1" si="0"/>
        <v>10-B</v>
      </c>
      <c r="C29" t="str">
        <f t="shared" ca="1" si="1"/>
        <v>English</v>
      </c>
      <c r="D29">
        <f t="shared" ca="1" si="2"/>
        <v>39.9</v>
      </c>
      <c r="E29">
        <v>100</v>
      </c>
      <c r="F29">
        <f t="shared" ca="1" si="3"/>
        <v>89</v>
      </c>
      <c r="G29" t="str">
        <f t="shared" ca="1" si="4"/>
        <v>None</v>
      </c>
      <c r="H29" t="str">
        <f t="shared" ca="1" si="5"/>
        <v>Yes</v>
      </c>
      <c r="I29" t="str">
        <f t="shared" ca="1" si="6"/>
        <v>Yes</v>
      </c>
      <c r="J29" t="str">
        <f t="shared" ca="1" si="7"/>
        <v>Medium</v>
      </c>
      <c r="K29" t="str">
        <f t="shared" ca="1" si="8"/>
        <v>Fail</v>
      </c>
      <c r="L29" s="4" t="str" cm="1">
        <f t="array" aca="1" ref="L29" ca="1">_xlfn.IFS(D29&gt;=85,"A", D29&gt;=70,"B", D29&gt;=50,"C", D29&lt;50,"D")</f>
        <v>D</v>
      </c>
      <c r="M29" t="str">
        <f t="shared" ca="1" si="9"/>
        <v>High</v>
      </c>
    </row>
    <row r="30" spans="1:13" x14ac:dyDescent="0.3">
      <c r="A30" t="s">
        <v>50</v>
      </c>
      <c r="B30" t="str">
        <f t="shared" ca="1" si="0"/>
        <v>10-A</v>
      </c>
      <c r="C30" t="str">
        <f t="shared" ca="1" si="1"/>
        <v>Science</v>
      </c>
      <c r="D30">
        <f t="shared" ca="1" si="2"/>
        <v>44.4</v>
      </c>
      <c r="E30">
        <v>100</v>
      </c>
      <c r="F30">
        <f t="shared" ca="1" si="3"/>
        <v>94</v>
      </c>
      <c r="G30" t="str">
        <f t="shared" ca="1" si="4"/>
        <v>None</v>
      </c>
      <c r="H30" t="str">
        <f t="shared" ca="1" si="5"/>
        <v>No</v>
      </c>
      <c r="I30" t="str">
        <f t="shared" ca="1" si="6"/>
        <v>Yes</v>
      </c>
      <c r="J30" t="str">
        <f t="shared" ca="1" si="7"/>
        <v>Medium</v>
      </c>
      <c r="K30" t="str">
        <f t="shared" ca="1" si="8"/>
        <v>Pass</v>
      </c>
      <c r="L30" s="4" t="str" cm="1">
        <f t="array" aca="1" ref="L30" ca="1">_xlfn.IFS(D30&gt;=85,"A", D30&gt;=70,"B", D30&gt;=50,"C", D30&lt;50,"D")</f>
        <v>D</v>
      </c>
      <c r="M30" t="str">
        <f t="shared" ca="1" si="9"/>
        <v>High</v>
      </c>
    </row>
    <row r="31" spans="1:13" x14ac:dyDescent="0.3">
      <c r="A31" t="s">
        <v>51</v>
      </c>
      <c r="B31" t="str">
        <f t="shared" ca="1" si="0"/>
        <v>10-A</v>
      </c>
      <c r="C31" t="str">
        <f t="shared" ca="1" si="1"/>
        <v>Math</v>
      </c>
      <c r="D31">
        <f t="shared" ca="1" si="2"/>
        <v>76.900000000000006</v>
      </c>
      <c r="E31">
        <v>100</v>
      </c>
      <c r="F31">
        <f t="shared" ca="1" si="3"/>
        <v>49</v>
      </c>
      <c r="G31" t="str">
        <f t="shared" ca="1" si="4"/>
        <v>None</v>
      </c>
      <c r="H31" t="str">
        <f t="shared" ca="1" si="5"/>
        <v>Yes</v>
      </c>
      <c r="I31" t="str">
        <f t="shared" ca="1" si="6"/>
        <v>Yes</v>
      </c>
      <c r="J31" t="str">
        <f t="shared" ca="1" si="7"/>
        <v>Low</v>
      </c>
      <c r="K31" t="str">
        <f t="shared" ca="1" si="8"/>
        <v>Pass</v>
      </c>
      <c r="L31" s="4" t="str" cm="1">
        <f t="array" aca="1" ref="L31" ca="1">_xlfn.IFS(D31&gt;=85,"A", D31&gt;=70,"B", D31&gt;=50,"C", D31&lt;50,"D")</f>
        <v>B</v>
      </c>
      <c r="M31" t="str">
        <f t="shared" ca="1" si="9"/>
        <v>Low</v>
      </c>
    </row>
    <row r="32" spans="1:13" x14ac:dyDescent="0.3">
      <c r="A32" t="s">
        <v>59</v>
      </c>
      <c r="B32" t="str">
        <f t="shared" ca="1" si="0"/>
        <v>10-B</v>
      </c>
      <c r="C32" t="str">
        <f t="shared" ca="1" si="1"/>
        <v>Math</v>
      </c>
      <c r="D32">
        <f t="shared" ca="1" si="2"/>
        <v>77.8</v>
      </c>
      <c r="E32">
        <v>100</v>
      </c>
      <c r="F32">
        <f t="shared" ca="1" si="3"/>
        <v>88</v>
      </c>
      <c r="G32" t="str">
        <f t="shared" ca="1" si="4"/>
        <v>Completed</v>
      </c>
      <c r="H32" t="str">
        <f t="shared" ca="1" si="5"/>
        <v>No</v>
      </c>
      <c r="I32" t="str">
        <f t="shared" ca="1" si="6"/>
        <v>No</v>
      </c>
      <c r="J32" t="str">
        <f t="shared" ca="1" si="7"/>
        <v>High</v>
      </c>
      <c r="K32" t="str">
        <f t="shared" ca="1" si="8"/>
        <v>Pass</v>
      </c>
      <c r="L32" s="4" t="str" cm="1">
        <f t="array" aca="1" ref="L32" ca="1">_xlfn.IFS(D32&gt;=85,"A", D32&gt;=70,"B", D32&gt;=50,"C", D32&lt;50,"D")</f>
        <v>B</v>
      </c>
      <c r="M32" t="str">
        <f t="shared" ca="1" si="9"/>
        <v>High</v>
      </c>
    </row>
    <row r="33" spans="1:13" x14ac:dyDescent="0.3">
      <c r="A33" t="s">
        <v>60</v>
      </c>
      <c r="B33" t="str">
        <f t="shared" ca="1" si="0"/>
        <v>10-A</v>
      </c>
      <c r="C33" t="str">
        <f t="shared" ca="1" si="1"/>
        <v>Math</v>
      </c>
      <c r="D33">
        <f t="shared" ca="1" si="2"/>
        <v>50.7</v>
      </c>
      <c r="E33">
        <v>100</v>
      </c>
      <c r="F33">
        <f t="shared" ca="1" si="3"/>
        <v>57</v>
      </c>
      <c r="G33" t="str">
        <f t="shared" ca="1" si="4"/>
        <v>None</v>
      </c>
      <c r="H33" t="str">
        <f t="shared" ca="1" si="5"/>
        <v>No</v>
      </c>
      <c r="I33" t="str">
        <f t="shared" ca="1" si="6"/>
        <v>Yes</v>
      </c>
      <c r="J33" t="str">
        <f t="shared" ca="1" si="7"/>
        <v>Low</v>
      </c>
      <c r="K33" t="str">
        <f t="shared" ca="1" si="8"/>
        <v>Pass</v>
      </c>
      <c r="L33" s="4" t="str" cm="1">
        <f t="array" aca="1" ref="L33" ca="1">_xlfn.IFS(D33&gt;=85,"A", D33&gt;=70,"B", D33&gt;=50,"C", D33&lt;50,"D")</f>
        <v>C</v>
      </c>
      <c r="M33" t="str">
        <f t="shared" ca="1" si="9"/>
        <v>Low</v>
      </c>
    </row>
    <row r="34" spans="1:13" x14ac:dyDescent="0.3">
      <c r="A34" t="s">
        <v>62</v>
      </c>
      <c r="B34" t="str">
        <f t="shared" ca="1" si="0"/>
        <v>10-B</v>
      </c>
      <c r="C34" t="str">
        <f t="shared" ca="1" si="1"/>
        <v>Science</v>
      </c>
      <c r="D34">
        <f t="shared" ca="1" si="2"/>
        <v>57.7</v>
      </c>
      <c r="E34">
        <v>100</v>
      </c>
      <c r="F34">
        <f t="shared" ca="1" si="3"/>
        <v>67</v>
      </c>
      <c r="G34" t="str">
        <f t="shared" ca="1" si="4"/>
        <v>None</v>
      </c>
      <c r="H34" t="str">
        <f t="shared" ca="1" si="5"/>
        <v>Yes</v>
      </c>
      <c r="I34" t="str">
        <f t="shared" ca="1" si="6"/>
        <v>Yes</v>
      </c>
      <c r="J34" t="str">
        <f t="shared" ca="1" si="7"/>
        <v>Low</v>
      </c>
      <c r="K34" t="str">
        <f t="shared" ca="1" si="8"/>
        <v>Pass</v>
      </c>
      <c r="L34" s="4" t="str" cm="1">
        <f t="array" aca="1" ref="L34" ca="1">_xlfn.IFS(D34&gt;=85,"A", D34&gt;=70,"B", D34&gt;=50,"C", D34&lt;50,"D")</f>
        <v>C</v>
      </c>
      <c r="M34" t="str">
        <f t="shared" ca="1" si="9"/>
        <v>Low</v>
      </c>
    </row>
    <row r="35" spans="1:13" x14ac:dyDescent="0.3">
      <c r="A35" t="s">
        <v>63</v>
      </c>
      <c r="B35" t="str">
        <f t="shared" ca="1" si="0"/>
        <v>10-C</v>
      </c>
      <c r="C35" t="str">
        <f t="shared" ca="1" si="1"/>
        <v>Science</v>
      </c>
      <c r="D35">
        <f t="shared" ca="1" si="2"/>
        <v>86.1</v>
      </c>
      <c r="E35">
        <v>100</v>
      </c>
      <c r="F35">
        <f t="shared" ca="1" si="3"/>
        <v>61</v>
      </c>
      <c r="G35" t="str">
        <f t="shared" ca="1" si="4"/>
        <v>None</v>
      </c>
      <c r="H35" t="str">
        <f t="shared" ca="1" si="5"/>
        <v>Yes</v>
      </c>
      <c r="I35" t="str">
        <f t="shared" ca="1" si="6"/>
        <v>Yes</v>
      </c>
      <c r="J35" t="str">
        <f t="shared" ca="1" si="7"/>
        <v>Low</v>
      </c>
      <c r="K35" t="str">
        <f t="shared" ca="1" si="8"/>
        <v>Pass</v>
      </c>
      <c r="L35" s="4" t="str" cm="1">
        <f t="array" aca="1" ref="L35" ca="1">_xlfn.IFS(D35&gt;=85,"A", D35&gt;=70,"B", D35&gt;=50,"C", D35&lt;50,"D")</f>
        <v>A</v>
      </c>
      <c r="M35" t="str">
        <f t="shared" ca="1" si="9"/>
        <v>Low</v>
      </c>
    </row>
    <row r="36" spans="1:13" x14ac:dyDescent="0.3">
      <c r="A36" t="s">
        <v>64</v>
      </c>
      <c r="B36" t="str">
        <f t="shared" ca="1" si="0"/>
        <v>10-C</v>
      </c>
      <c r="C36" t="str">
        <f t="shared" ca="1" si="1"/>
        <v>English</v>
      </c>
      <c r="D36">
        <f t="shared" ca="1" si="2"/>
        <v>55</v>
      </c>
      <c r="E36">
        <v>100</v>
      </c>
      <c r="F36">
        <f t="shared" ca="1" si="3"/>
        <v>50</v>
      </c>
      <c r="G36" t="str">
        <f t="shared" ca="1" si="4"/>
        <v>Completed</v>
      </c>
      <c r="H36" t="str">
        <f t="shared" ca="1" si="5"/>
        <v>Yes</v>
      </c>
      <c r="I36" t="str">
        <f t="shared" ca="1" si="6"/>
        <v>Yes</v>
      </c>
      <c r="J36" t="str">
        <f t="shared" ca="1" si="7"/>
        <v>Low</v>
      </c>
      <c r="K36" t="str">
        <f t="shared" ca="1" si="8"/>
        <v>Pass</v>
      </c>
      <c r="L36" s="4" t="str" cm="1">
        <f t="array" aca="1" ref="L36" ca="1">_xlfn.IFS(D36&gt;=85,"A", D36&gt;=70,"B", D36&gt;=50,"C", D36&lt;50,"D")</f>
        <v>C</v>
      </c>
      <c r="M36" t="str">
        <f t="shared" ca="1" si="9"/>
        <v>Low</v>
      </c>
    </row>
    <row r="37" spans="1:13" x14ac:dyDescent="0.3">
      <c r="A37" t="s">
        <v>65</v>
      </c>
      <c r="B37" t="str">
        <f t="shared" ca="1" si="0"/>
        <v>10-B</v>
      </c>
      <c r="C37" t="str">
        <f t="shared" ca="1" si="1"/>
        <v>Science</v>
      </c>
      <c r="D37">
        <f t="shared" ca="1" si="2"/>
        <v>42</v>
      </c>
      <c r="E37">
        <v>100</v>
      </c>
      <c r="F37">
        <f t="shared" ca="1" si="3"/>
        <v>60</v>
      </c>
      <c r="G37" t="str">
        <f t="shared" ca="1" si="4"/>
        <v>Completed</v>
      </c>
      <c r="H37" t="str">
        <f t="shared" ca="1" si="5"/>
        <v>Yes</v>
      </c>
      <c r="I37" t="str">
        <f t="shared" ca="1" si="6"/>
        <v>Yes</v>
      </c>
      <c r="J37" t="str">
        <f t="shared" ca="1" si="7"/>
        <v>Medium</v>
      </c>
      <c r="K37" t="str">
        <f t="shared" ca="1" si="8"/>
        <v>Pass</v>
      </c>
      <c r="L37" s="4" t="str" cm="1">
        <f t="array" aca="1" ref="L37" ca="1">_xlfn.IFS(D37&gt;=85,"A", D37&gt;=70,"B", D37&gt;=50,"C", D37&lt;50,"D")</f>
        <v>D</v>
      </c>
      <c r="M37" t="str">
        <f t="shared" ca="1" si="9"/>
        <v>Low</v>
      </c>
    </row>
    <row r="38" spans="1:13" x14ac:dyDescent="0.3">
      <c r="A38" t="s">
        <v>66</v>
      </c>
      <c r="B38" t="str">
        <f t="shared" ca="1" si="0"/>
        <v>10-B</v>
      </c>
      <c r="C38" t="str">
        <f t="shared" ca="1" si="1"/>
        <v>English</v>
      </c>
      <c r="D38">
        <f t="shared" ca="1" si="2"/>
        <v>35.9</v>
      </c>
      <c r="E38">
        <v>100</v>
      </c>
      <c r="F38">
        <f t="shared" ca="1" si="3"/>
        <v>59</v>
      </c>
      <c r="G38" t="str">
        <f t="shared" ca="1" si="4"/>
        <v>Completed</v>
      </c>
      <c r="H38" t="str">
        <f t="shared" ca="1" si="5"/>
        <v>Yes</v>
      </c>
      <c r="I38" t="str">
        <f t="shared" ca="1" si="6"/>
        <v>Yes</v>
      </c>
      <c r="J38" t="str">
        <f t="shared" ca="1" si="7"/>
        <v>Medium</v>
      </c>
      <c r="K38" t="str">
        <f t="shared" ca="1" si="8"/>
        <v>Fail</v>
      </c>
      <c r="L38" s="4" t="str" cm="1">
        <f t="array" aca="1" ref="L38" ca="1">_xlfn.IFS(D38&gt;=85,"A", D38&gt;=70,"B", D38&gt;=50,"C", D38&lt;50,"D")</f>
        <v>D</v>
      </c>
      <c r="M38" t="str">
        <f t="shared" ca="1" si="9"/>
        <v>Low</v>
      </c>
    </row>
    <row r="39" spans="1:13" x14ac:dyDescent="0.3">
      <c r="A39" t="s">
        <v>67</v>
      </c>
      <c r="B39" t="str">
        <f t="shared" ca="1" si="0"/>
        <v>10-B</v>
      </c>
      <c r="C39" t="str">
        <f t="shared" ca="1" si="1"/>
        <v>Math</v>
      </c>
      <c r="D39">
        <f t="shared" ca="1" si="2"/>
        <v>66.5</v>
      </c>
      <c r="E39">
        <v>100</v>
      </c>
      <c r="F39">
        <f t="shared" ca="1" si="3"/>
        <v>95</v>
      </c>
      <c r="G39" t="str">
        <f t="shared" ca="1" si="4"/>
        <v>None</v>
      </c>
      <c r="H39" t="str">
        <f t="shared" ca="1" si="5"/>
        <v>Yes</v>
      </c>
      <c r="I39" t="str">
        <f t="shared" ca="1" si="6"/>
        <v>No</v>
      </c>
      <c r="J39" t="str">
        <f t="shared" ca="1" si="7"/>
        <v>High</v>
      </c>
      <c r="K39" t="str">
        <f t="shared" ca="1" si="8"/>
        <v>Pass</v>
      </c>
      <c r="L39" s="4" t="str" cm="1">
        <f t="array" aca="1" ref="L39" ca="1">_xlfn.IFS(D39&gt;=85,"A", D39&gt;=70,"B", D39&gt;=50,"C", D39&lt;50,"D")</f>
        <v>C</v>
      </c>
      <c r="M39" t="str">
        <f t="shared" ca="1" si="9"/>
        <v>High</v>
      </c>
    </row>
    <row r="40" spans="1:13" x14ac:dyDescent="0.3">
      <c r="A40" t="s">
        <v>68</v>
      </c>
      <c r="B40" t="str">
        <f t="shared" ca="1" si="0"/>
        <v>10-C</v>
      </c>
      <c r="C40" t="str">
        <f t="shared" ca="1" si="1"/>
        <v>Math</v>
      </c>
      <c r="D40">
        <f t="shared" ca="1" si="2"/>
        <v>49.3</v>
      </c>
      <c r="E40">
        <v>100</v>
      </c>
      <c r="F40">
        <f t="shared" ca="1" si="3"/>
        <v>63</v>
      </c>
      <c r="G40" t="str">
        <f t="shared" ca="1" si="4"/>
        <v>None</v>
      </c>
      <c r="H40" t="str">
        <f t="shared" ca="1" si="5"/>
        <v>Yes</v>
      </c>
      <c r="I40" t="str">
        <f t="shared" ca="1" si="6"/>
        <v>Yes</v>
      </c>
      <c r="J40" t="str">
        <f t="shared" ca="1" si="7"/>
        <v>Medium</v>
      </c>
      <c r="K40" t="str">
        <f t="shared" ca="1" si="8"/>
        <v>Pass</v>
      </c>
      <c r="L40" s="4" t="str" cm="1">
        <f t="array" aca="1" ref="L40" ca="1">_xlfn.IFS(D40&gt;=85,"A", D40&gt;=70,"B", D40&gt;=50,"C", D40&lt;50,"D")</f>
        <v>D</v>
      </c>
      <c r="M40" t="str">
        <f t="shared" ca="1" si="9"/>
        <v>Low</v>
      </c>
    </row>
    <row r="41" spans="1:13" x14ac:dyDescent="0.3">
      <c r="A41" t="s">
        <v>69</v>
      </c>
      <c r="B41" t="str">
        <f t="shared" ca="1" si="0"/>
        <v>10-A</v>
      </c>
      <c r="C41" t="str">
        <f t="shared" ca="1" si="1"/>
        <v>Math</v>
      </c>
      <c r="D41">
        <f t="shared" ca="1" si="2"/>
        <v>65.400000000000006</v>
      </c>
      <c r="E41">
        <v>100</v>
      </c>
      <c r="F41">
        <f t="shared" ca="1" si="3"/>
        <v>94</v>
      </c>
      <c r="G41" t="str">
        <f t="shared" ca="1" si="4"/>
        <v>None</v>
      </c>
      <c r="H41" t="str">
        <f t="shared" ca="1" si="5"/>
        <v>Yes</v>
      </c>
      <c r="I41" t="str">
        <f t="shared" ca="1" si="6"/>
        <v>Yes</v>
      </c>
      <c r="J41" t="str">
        <f t="shared" ca="1" si="7"/>
        <v>Low</v>
      </c>
      <c r="K41" t="str">
        <f t="shared" ca="1" si="8"/>
        <v>Pass</v>
      </c>
      <c r="L41" s="4" t="str" cm="1">
        <f t="array" aca="1" ref="L41" ca="1">_xlfn.IFS(D41&gt;=85,"A", D41&gt;=70,"B", D41&gt;=50,"C", D41&lt;50,"D")</f>
        <v>C</v>
      </c>
      <c r="M41" t="str">
        <f t="shared" ca="1" si="9"/>
        <v>High</v>
      </c>
    </row>
    <row r="42" spans="1:13" x14ac:dyDescent="0.3">
      <c r="A42" t="s">
        <v>70</v>
      </c>
      <c r="B42" t="str">
        <f t="shared" ca="1" si="0"/>
        <v>10-C</v>
      </c>
      <c r="C42" t="str">
        <f t="shared" ca="1" si="1"/>
        <v>Math</v>
      </c>
      <c r="D42">
        <f t="shared" ca="1" si="2"/>
        <v>57</v>
      </c>
      <c r="E42">
        <v>100</v>
      </c>
      <c r="F42">
        <f t="shared" ca="1" si="3"/>
        <v>60</v>
      </c>
      <c r="G42" t="str">
        <f t="shared" ca="1" si="4"/>
        <v>None</v>
      </c>
      <c r="H42" t="str">
        <f t="shared" ca="1" si="5"/>
        <v>Yes</v>
      </c>
      <c r="I42" t="str">
        <f t="shared" ca="1" si="6"/>
        <v>Yes</v>
      </c>
      <c r="J42" t="str">
        <f t="shared" ca="1" si="7"/>
        <v>Low</v>
      </c>
      <c r="K42" t="str">
        <f t="shared" ca="1" si="8"/>
        <v>Pass</v>
      </c>
      <c r="L42" s="4" t="str" cm="1">
        <f t="array" aca="1" ref="L42" ca="1">_xlfn.IFS(D42&gt;=85,"A", D42&gt;=70,"B", D42&gt;=50,"C", D42&lt;50,"D")</f>
        <v>C</v>
      </c>
      <c r="M42" t="str">
        <f t="shared" ca="1" si="9"/>
        <v>Low</v>
      </c>
    </row>
    <row r="43" spans="1:13" x14ac:dyDescent="0.3">
      <c r="A43" t="s">
        <v>71</v>
      </c>
      <c r="B43" t="str">
        <f t="shared" ca="1" si="0"/>
        <v>10-C</v>
      </c>
      <c r="C43" t="str">
        <f t="shared" ca="1" si="1"/>
        <v>Math</v>
      </c>
      <c r="D43">
        <f t="shared" ca="1" si="2"/>
        <v>55.7</v>
      </c>
      <c r="E43">
        <v>100</v>
      </c>
      <c r="F43">
        <f t="shared" ca="1" si="3"/>
        <v>57</v>
      </c>
      <c r="G43" t="str">
        <f t="shared" ca="1" si="4"/>
        <v>Completed</v>
      </c>
      <c r="H43" t="str">
        <f t="shared" ca="1" si="5"/>
        <v>No</v>
      </c>
      <c r="I43" t="str">
        <f t="shared" ca="1" si="6"/>
        <v>Yes</v>
      </c>
      <c r="J43" t="str">
        <f t="shared" ca="1" si="7"/>
        <v>Low</v>
      </c>
      <c r="K43" t="str">
        <f t="shared" ca="1" si="8"/>
        <v>Pass</v>
      </c>
      <c r="L43" s="4" t="str" cm="1">
        <f t="array" aca="1" ref="L43" ca="1">_xlfn.IFS(D43&gt;=85,"A", D43&gt;=70,"B", D43&gt;=50,"C", D43&lt;50,"D")</f>
        <v>C</v>
      </c>
      <c r="M43" t="str">
        <f t="shared" ca="1" si="9"/>
        <v>Low</v>
      </c>
    </row>
    <row r="44" spans="1:13" x14ac:dyDescent="0.3">
      <c r="A44" t="s">
        <v>72</v>
      </c>
      <c r="B44" t="str">
        <f t="shared" ca="1" si="0"/>
        <v>10-B</v>
      </c>
      <c r="C44" t="str">
        <f t="shared" ca="1" si="1"/>
        <v>English</v>
      </c>
      <c r="D44">
        <f t="shared" ca="1" si="2"/>
        <v>50.8</v>
      </c>
      <c r="E44">
        <v>100</v>
      </c>
      <c r="F44">
        <f t="shared" ca="1" si="3"/>
        <v>98</v>
      </c>
      <c r="G44" t="str">
        <f t="shared" ca="1" si="4"/>
        <v>None</v>
      </c>
      <c r="H44" t="str">
        <f t="shared" ca="1" si="5"/>
        <v>Yes</v>
      </c>
      <c r="I44" t="str">
        <f t="shared" ca="1" si="6"/>
        <v>Yes</v>
      </c>
      <c r="J44" t="str">
        <f t="shared" ca="1" si="7"/>
        <v>Low</v>
      </c>
      <c r="K44" t="str">
        <f t="shared" ca="1" si="8"/>
        <v>Pass</v>
      </c>
      <c r="L44" s="4" t="str" cm="1">
        <f t="array" aca="1" ref="L44" ca="1">_xlfn.IFS(D44&gt;=85,"A", D44&gt;=70,"B", D44&gt;=50,"C", D44&lt;50,"D")</f>
        <v>C</v>
      </c>
      <c r="M44" t="str">
        <f t="shared" ca="1" si="9"/>
        <v>High</v>
      </c>
    </row>
    <row r="45" spans="1:13" x14ac:dyDescent="0.3">
      <c r="A45" t="s">
        <v>73</v>
      </c>
      <c r="B45" t="str">
        <f t="shared" ca="1" si="0"/>
        <v>10-C</v>
      </c>
      <c r="C45" t="str">
        <f t="shared" ca="1" si="1"/>
        <v>Science</v>
      </c>
      <c r="D45">
        <f t="shared" ca="1" si="2"/>
        <v>52.6</v>
      </c>
      <c r="E45">
        <v>100</v>
      </c>
      <c r="F45">
        <f t="shared" ca="1" si="3"/>
        <v>56</v>
      </c>
      <c r="G45" t="str">
        <f t="shared" ca="1" si="4"/>
        <v>None</v>
      </c>
      <c r="H45" t="str">
        <f t="shared" ca="1" si="5"/>
        <v>Yes</v>
      </c>
      <c r="I45" t="str">
        <f t="shared" ca="1" si="6"/>
        <v>Yes</v>
      </c>
      <c r="J45" t="str">
        <f t="shared" ca="1" si="7"/>
        <v>Low</v>
      </c>
      <c r="K45" t="str">
        <f t="shared" ca="1" si="8"/>
        <v>Pass</v>
      </c>
      <c r="L45" s="4" t="str" cm="1">
        <f t="array" aca="1" ref="L45" ca="1">_xlfn.IFS(D45&gt;=85,"A", D45&gt;=70,"B", D45&gt;=50,"C", D45&lt;50,"D")</f>
        <v>C</v>
      </c>
      <c r="M45" t="str">
        <f t="shared" ca="1" si="9"/>
        <v>Low</v>
      </c>
    </row>
    <row r="46" spans="1:13" x14ac:dyDescent="0.3">
      <c r="A46" t="s">
        <v>74</v>
      </c>
      <c r="B46" t="str">
        <f t="shared" ca="1" si="0"/>
        <v>10-B</v>
      </c>
      <c r="C46" t="str">
        <f t="shared" ca="1" si="1"/>
        <v>Math</v>
      </c>
      <c r="D46">
        <f t="shared" ca="1" si="2"/>
        <v>50.2</v>
      </c>
      <c r="E46">
        <v>100</v>
      </c>
      <c r="F46">
        <f t="shared" ca="1" si="3"/>
        <v>52</v>
      </c>
      <c r="G46" t="str">
        <f t="shared" ca="1" si="4"/>
        <v>Completed</v>
      </c>
      <c r="H46" t="str">
        <f t="shared" ca="1" si="5"/>
        <v>No</v>
      </c>
      <c r="I46" t="str">
        <f t="shared" ca="1" si="6"/>
        <v>Yes</v>
      </c>
      <c r="J46" t="str">
        <f t="shared" ca="1" si="7"/>
        <v>Low</v>
      </c>
      <c r="K46" t="str">
        <f t="shared" ca="1" si="8"/>
        <v>Pass</v>
      </c>
      <c r="L46" s="4" t="str" cm="1">
        <f t="array" aca="1" ref="L46" ca="1">_xlfn.IFS(D46&gt;=85,"A", D46&gt;=70,"B", D46&gt;=50,"C", D46&lt;50,"D")</f>
        <v>C</v>
      </c>
      <c r="M46" t="str">
        <f t="shared" ca="1" si="9"/>
        <v>Low</v>
      </c>
    </row>
    <row r="47" spans="1:13" x14ac:dyDescent="0.3">
      <c r="A47" t="s">
        <v>75</v>
      </c>
      <c r="B47" t="str">
        <f t="shared" ca="1" si="0"/>
        <v>10-C</v>
      </c>
      <c r="C47" t="str">
        <f t="shared" ca="1" si="1"/>
        <v>English</v>
      </c>
      <c r="D47">
        <f t="shared" ca="1" si="2"/>
        <v>72.8</v>
      </c>
      <c r="E47">
        <v>100</v>
      </c>
      <c r="F47">
        <f t="shared" ca="1" si="3"/>
        <v>98</v>
      </c>
      <c r="G47" t="str">
        <f t="shared" ca="1" si="4"/>
        <v>None</v>
      </c>
      <c r="H47" t="str">
        <f t="shared" ca="1" si="5"/>
        <v>No</v>
      </c>
      <c r="I47" t="str">
        <f t="shared" ca="1" si="6"/>
        <v>Yes</v>
      </c>
      <c r="J47" t="str">
        <f t="shared" ca="1" si="7"/>
        <v>Low</v>
      </c>
      <c r="K47" t="str">
        <f t="shared" ca="1" si="8"/>
        <v>Pass</v>
      </c>
      <c r="L47" s="4" t="str" cm="1">
        <f t="array" aca="1" ref="L47" ca="1">_xlfn.IFS(D47&gt;=85,"A", D47&gt;=70,"B", D47&gt;=50,"C", D47&lt;50,"D")</f>
        <v>B</v>
      </c>
      <c r="M47" t="str">
        <f t="shared" ca="1" si="9"/>
        <v>High</v>
      </c>
    </row>
    <row r="48" spans="1:13" x14ac:dyDescent="0.3">
      <c r="A48" t="s">
        <v>76</v>
      </c>
      <c r="B48" t="str">
        <f t="shared" ca="1" si="0"/>
        <v>10-C</v>
      </c>
      <c r="C48" t="str">
        <f t="shared" ca="1" si="1"/>
        <v>Science</v>
      </c>
      <c r="D48">
        <f t="shared" ca="1" si="2"/>
        <v>60.2</v>
      </c>
      <c r="E48">
        <v>100</v>
      </c>
      <c r="F48">
        <f t="shared" ca="1" si="3"/>
        <v>82</v>
      </c>
      <c r="G48" t="str">
        <f t="shared" ca="1" si="4"/>
        <v>Completed</v>
      </c>
      <c r="H48" t="str">
        <f t="shared" ca="1" si="5"/>
        <v>Yes</v>
      </c>
      <c r="I48" t="str">
        <f t="shared" ca="1" si="6"/>
        <v>No</v>
      </c>
      <c r="J48" t="str">
        <f t="shared" ca="1" si="7"/>
        <v>High</v>
      </c>
      <c r="K48" t="str">
        <f t="shared" ca="1" si="8"/>
        <v>Pass</v>
      </c>
      <c r="L48" s="4" t="str" cm="1">
        <f t="array" aca="1" ref="L48" ca="1">_xlfn.IFS(D48&gt;=85,"A", D48&gt;=70,"B", D48&gt;=50,"C", D48&lt;50,"D")</f>
        <v>C</v>
      </c>
      <c r="M48" t="str">
        <f t="shared" ca="1" si="9"/>
        <v>Medium</v>
      </c>
    </row>
    <row r="49" spans="1:13" x14ac:dyDescent="0.3">
      <c r="A49" t="s">
        <v>77</v>
      </c>
      <c r="B49" t="str">
        <f t="shared" ca="1" si="0"/>
        <v>10-C</v>
      </c>
      <c r="C49" t="str">
        <f t="shared" ca="1" si="1"/>
        <v>Math</v>
      </c>
      <c r="D49">
        <f t="shared" ca="1" si="2"/>
        <v>79.599999999999994</v>
      </c>
      <c r="E49">
        <v>100</v>
      </c>
      <c r="F49">
        <f t="shared" ca="1" si="3"/>
        <v>46</v>
      </c>
      <c r="G49" t="str">
        <f t="shared" ca="1" si="4"/>
        <v>None</v>
      </c>
      <c r="H49" t="str">
        <f t="shared" ca="1" si="5"/>
        <v>Yes</v>
      </c>
      <c r="I49" t="str">
        <f t="shared" ca="1" si="6"/>
        <v>Yes</v>
      </c>
      <c r="J49" t="str">
        <f t="shared" ca="1" si="7"/>
        <v>Low</v>
      </c>
      <c r="K49" t="str">
        <f t="shared" ca="1" si="8"/>
        <v>Pass</v>
      </c>
      <c r="L49" s="4" t="str" cm="1">
        <f t="array" aca="1" ref="L49" ca="1">_xlfn.IFS(D49&gt;=85,"A", D49&gt;=70,"B", D49&gt;=50,"C", D49&lt;50,"D")</f>
        <v>B</v>
      </c>
      <c r="M49" t="str">
        <f t="shared" ca="1" si="9"/>
        <v>Low</v>
      </c>
    </row>
    <row r="50" spans="1:13" x14ac:dyDescent="0.3">
      <c r="A50" t="s">
        <v>78</v>
      </c>
      <c r="B50" t="str">
        <f t="shared" ca="1" si="0"/>
        <v>10-C</v>
      </c>
      <c r="C50" t="str">
        <f t="shared" ca="1" si="1"/>
        <v>Science</v>
      </c>
      <c r="D50">
        <f t="shared" ca="1" si="2"/>
        <v>42.1</v>
      </c>
      <c r="E50">
        <v>100</v>
      </c>
      <c r="F50">
        <f t="shared" ca="1" si="3"/>
        <v>41</v>
      </c>
      <c r="G50" t="str">
        <f t="shared" ca="1" si="4"/>
        <v>Completed</v>
      </c>
      <c r="H50" t="str">
        <f t="shared" ca="1" si="5"/>
        <v>Yes</v>
      </c>
      <c r="I50" t="str">
        <f t="shared" ca="1" si="6"/>
        <v>Yes</v>
      </c>
      <c r="J50" t="str">
        <f t="shared" ca="1" si="7"/>
        <v>Medium</v>
      </c>
      <c r="K50" t="str">
        <f t="shared" ca="1" si="8"/>
        <v>Pass</v>
      </c>
      <c r="L50" s="4" t="str" cm="1">
        <f t="array" aca="1" ref="L50" ca="1">_xlfn.IFS(D50&gt;=85,"A", D50&gt;=70,"B", D50&gt;=50,"C", D50&lt;50,"D")</f>
        <v>D</v>
      </c>
      <c r="M50" t="str">
        <f t="shared" ca="1" si="9"/>
        <v>Low</v>
      </c>
    </row>
    <row r="51" spans="1:13" x14ac:dyDescent="0.3">
      <c r="A51" t="s">
        <v>79</v>
      </c>
      <c r="B51" t="str">
        <f t="shared" ca="1" si="0"/>
        <v>10-C</v>
      </c>
      <c r="C51" t="str">
        <f t="shared" ca="1" si="1"/>
        <v>English</v>
      </c>
      <c r="D51">
        <f t="shared" ca="1" si="2"/>
        <v>60</v>
      </c>
      <c r="E51">
        <v>100</v>
      </c>
      <c r="F51">
        <f t="shared" ca="1" si="3"/>
        <v>60</v>
      </c>
      <c r="G51" t="str">
        <f t="shared" ca="1" si="4"/>
        <v>Completed</v>
      </c>
      <c r="H51" t="str">
        <f t="shared" ca="1" si="5"/>
        <v>No</v>
      </c>
      <c r="I51" t="str">
        <f t="shared" ca="1" si="6"/>
        <v>No</v>
      </c>
      <c r="J51" t="str">
        <f t="shared" ca="1" si="7"/>
        <v>High</v>
      </c>
      <c r="K51" t="str">
        <f t="shared" ca="1" si="8"/>
        <v>Pass</v>
      </c>
      <c r="L51" s="4" t="str" cm="1">
        <f t="array" aca="1" ref="L51" ca="1">_xlfn.IFS(D51&gt;=85,"A", D51&gt;=70,"B", D51&gt;=50,"C", D51&lt;50,"D")</f>
        <v>C</v>
      </c>
      <c r="M51" t="str">
        <f t="shared" ca="1" si="9"/>
        <v>Low</v>
      </c>
    </row>
    <row r="52" spans="1:13" x14ac:dyDescent="0.3">
      <c r="A52" t="s">
        <v>94</v>
      </c>
      <c r="B52" t="str">
        <f t="shared" ca="1" si="0"/>
        <v>10-B</v>
      </c>
      <c r="C52" t="str">
        <f t="shared" ca="1" si="1"/>
        <v>Science</v>
      </c>
      <c r="D52">
        <f t="shared" ca="1" si="2"/>
        <v>34.6</v>
      </c>
      <c r="E52">
        <v>100</v>
      </c>
      <c r="F52">
        <f t="shared" ca="1" si="3"/>
        <v>46</v>
      </c>
      <c r="G52" t="str">
        <f t="shared" ca="1" si="4"/>
        <v>None</v>
      </c>
      <c r="H52" t="str">
        <f t="shared" ca="1" si="5"/>
        <v>Yes</v>
      </c>
      <c r="I52" t="str">
        <f t="shared" ca="1" si="6"/>
        <v>No</v>
      </c>
      <c r="J52" t="str">
        <f t="shared" ca="1" si="7"/>
        <v>Critical</v>
      </c>
      <c r="K52" t="str">
        <f t="shared" ca="1" si="8"/>
        <v>Fail</v>
      </c>
      <c r="L52" s="4" t="str" cm="1">
        <f t="array" aca="1" ref="L52" ca="1">_xlfn.IFS(D52&gt;=85,"A", D52&gt;=70,"B", D52&gt;=50,"C", D52&lt;50,"D")</f>
        <v>D</v>
      </c>
      <c r="M52" t="str">
        <f t="shared" ca="1" si="9"/>
        <v>Low</v>
      </c>
    </row>
    <row r="53" spans="1:13" x14ac:dyDescent="0.3">
      <c r="A53" t="s">
        <v>95</v>
      </c>
      <c r="B53" t="str">
        <f t="shared" ca="1" si="0"/>
        <v>10-B</v>
      </c>
      <c r="C53" t="str">
        <f t="shared" ca="1" si="1"/>
        <v>English</v>
      </c>
      <c r="D53">
        <f t="shared" ca="1" si="2"/>
        <v>73.5</v>
      </c>
      <c r="E53">
        <v>100</v>
      </c>
      <c r="F53">
        <f t="shared" ca="1" si="3"/>
        <v>55</v>
      </c>
      <c r="G53" t="str">
        <f t="shared" ca="1" si="4"/>
        <v>Completed</v>
      </c>
      <c r="H53" t="str">
        <f t="shared" ca="1" si="5"/>
        <v>No</v>
      </c>
      <c r="I53" t="str">
        <f t="shared" ca="1" si="6"/>
        <v>Yes</v>
      </c>
      <c r="J53" t="str">
        <f t="shared" ca="1" si="7"/>
        <v>Low</v>
      </c>
      <c r="K53" t="str">
        <f t="shared" ca="1" si="8"/>
        <v>Pass</v>
      </c>
      <c r="L53" s="4" t="str" cm="1">
        <f t="array" aca="1" ref="L53" ca="1">_xlfn.IFS(D53&gt;=85,"A", D53&gt;=70,"B", D53&gt;=50,"C", D53&lt;50,"D")</f>
        <v>B</v>
      </c>
      <c r="M53" t="str">
        <f t="shared" ca="1" si="9"/>
        <v>Low</v>
      </c>
    </row>
    <row r="54" spans="1:13" x14ac:dyDescent="0.3">
      <c r="A54" t="s">
        <v>96</v>
      </c>
      <c r="B54" t="str">
        <f t="shared" ca="1" si="0"/>
        <v>10-C</v>
      </c>
      <c r="C54" t="str">
        <f t="shared" ca="1" si="1"/>
        <v>Math</v>
      </c>
      <c r="D54">
        <f t="shared" ca="1" si="2"/>
        <v>66.5</v>
      </c>
      <c r="E54">
        <v>100</v>
      </c>
      <c r="F54">
        <f t="shared" ca="1" si="3"/>
        <v>85</v>
      </c>
      <c r="G54" t="str">
        <f t="shared" ca="1" si="4"/>
        <v>Completed</v>
      </c>
      <c r="H54" t="str">
        <f t="shared" ca="1" si="5"/>
        <v>Yes</v>
      </c>
      <c r="I54" t="str">
        <f t="shared" ca="1" si="6"/>
        <v>No</v>
      </c>
      <c r="J54" t="str">
        <f t="shared" ca="1" si="7"/>
        <v>High</v>
      </c>
      <c r="K54" t="str">
        <f t="shared" ca="1" si="8"/>
        <v>Pass</v>
      </c>
      <c r="L54" s="4" t="str" cm="1">
        <f t="array" aca="1" ref="L54" ca="1">_xlfn.IFS(D54&gt;=85,"A", D54&gt;=70,"B", D54&gt;=50,"C", D54&lt;50,"D")</f>
        <v>C</v>
      </c>
      <c r="M54" t="str">
        <f t="shared" ca="1" si="9"/>
        <v>High</v>
      </c>
    </row>
    <row r="55" spans="1:13" x14ac:dyDescent="0.3">
      <c r="A55" t="s">
        <v>97</v>
      </c>
      <c r="B55" t="str">
        <f t="shared" ca="1" si="0"/>
        <v>10-C</v>
      </c>
      <c r="C55" t="str">
        <f t="shared" ca="1" si="1"/>
        <v>English</v>
      </c>
      <c r="D55">
        <f t="shared" ca="1" si="2"/>
        <v>56.1</v>
      </c>
      <c r="E55">
        <v>100</v>
      </c>
      <c r="F55">
        <f t="shared" ca="1" si="3"/>
        <v>91</v>
      </c>
      <c r="G55" t="str">
        <f t="shared" ca="1" si="4"/>
        <v>None</v>
      </c>
      <c r="H55" t="str">
        <f t="shared" ca="1" si="5"/>
        <v>Yes</v>
      </c>
      <c r="I55" t="str">
        <f t="shared" ca="1" si="6"/>
        <v>No</v>
      </c>
      <c r="J55" t="str">
        <f t="shared" ca="1" si="7"/>
        <v>High</v>
      </c>
      <c r="K55" t="str">
        <f t="shared" ca="1" si="8"/>
        <v>Pass</v>
      </c>
      <c r="L55" s="4" t="str" cm="1">
        <f t="array" aca="1" ref="L55" ca="1">_xlfn.IFS(D55&gt;=85,"A", D55&gt;=70,"B", D55&gt;=50,"C", D55&lt;50,"D")</f>
        <v>C</v>
      </c>
      <c r="M55" t="str">
        <f t="shared" ca="1" si="9"/>
        <v>High</v>
      </c>
    </row>
    <row r="56" spans="1:13" x14ac:dyDescent="0.3">
      <c r="A56" t="s">
        <v>98</v>
      </c>
      <c r="B56" t="str">
        <f t="shared" ca="1" si="0"/>
        <v>10-B</v>
      </c>
      <c r="C56" t="str">
        <f t="shared" ca="1" si="1"/>
        <v>Science</v>
      </c>
      <c r="D56">
        <f t="shared" ca="1" si="2"/>
        <v>54.2</v>
      </c>
      <c r="E56">
        <v>100</v>
      </c>
      <c r="F56">
        <f t="shared" ca="1" si="3"/>
        <v>42</v>
      </c>
      <c r="G56" t="str">
        <f t="shared" ca="1" si="4"/>
        <v>None</v>
      </c>
      <c r="H56" t="str">
        <f t="shared" ca="1" si="5"/>
        <v>Yes</v>
      </c>
      <c r="I56" t="str">
        <f t="shared" ca="1" si="6"/>
        <v>Yes</v>
      </c>
      <c r="J56" t="str">
        <f t="shared" ca="1" si="7"/>
        <v>Low</v>
      </c>
      <c r="K56" t="str">
        <f t="shared" ca="1" si="8"/>
        <v>Pass</v>
      </c>
      <c r="L56" s="4" t="str" cm="1">
        <f t="array" aca="1" ref="L56" ca="1">_xlfn.IFS(D56&gt;=85,"A", D56&gt;=70,"B", D56&gt;=50,"C", D56&lt;50,"D")</f>
        <v>C</v>
      </c>
      <c r="M56" t="str">
        <f t="shared" ca="1" si="9"/>
        <v>Low</v>
      </c>
    </row>
    <row r="57" spans="1:13" x14ac:dyDescent="0.3">
      <c r="A57" t="s">
        <v>99</v>
      </c>
      <c r="B57" t="str">
        <f t="shared" ca="1" si="0"/>
        <v>10-A</v>
      </c>
      <c r="C57" t="str">
        <f t="shared" ca="1" si="1"/>
        <v>Science</v>
      </c>
      <c r="D57">
        <f t="shared" ca="1" si="2"/>
        <v>66</v>
      </c>
      <c r="E57">
        <v>100</v>
      </c>
      <c r="F57">
        <f t="shared" ca="1" si="3"/>
        <v>50</v>
      </c>
      <c r="G57" t="str">
        <f t="shared" ca="1" si="4"/>
        <v>None</v>
      </c>
      <c r="H57" t="str">
        <f t="shared" ca="1" si="5"/>
        <v>Yes</v>
      </c>
      <c r="I57" t="str">
        <f t="shared" ca="1" si="6"/>
        <v>No</v>
      </c>
      <c r="J57" t="str">
        <f t="shared" ca="1" si="7"/>
        <v>High</v>
      </c>
      <c r="K57" t="str">
        <f t="shared" ca="1" si="8"/>
        <v>Pass</v>
      </c>
      <c r="L57" s="4" t="str" cm="1">
        <f t="array" aca="1" ref="L57" ca="1">_xlfn.IFS(D57&gt;=85,"A", D57&gt;=70,"B", D57&gt;=50,"C", D57&lt;50,"D")</f>
        <v>C</v>
      </c>
      <c r="M57" t="str">
        <f t="shared" ca="1" si="9"/>
        <v>Low</v>
      </c>
    </row>
    <row r="58" spans="1:13" x14ac:dyDescent="0.3">
      <c r="A58" t="s">
        <v>100</v>
      </c>
      <c r="B58" t="str">
        <f t="shared" ca="1" si="0"/>
        <v>10-A</v>
      </c>
      <c r="C58" t="str">
        <f t="shared" ca="1" si="1"/>
        <v>Math</v>
      </c>
      <c r="D58">
        <f t="shared" ca="1" si="2"/>
        <v>47.6</v>
      </c>
      <c r="E58">
        <v>100</v>
      </c>
      <c r="F58">
        <f t="shared" ca="1" si="3"/>
        <v>46</v>
      </c>
      <c r="G58" t="str">
        <f t="shared" ca="1" si="4"/>
        <v>None</v>
      </c>
      <c r="H58" t="str">
        <f t="shared" ca="1" si="5"/>
        <v>Yes</v>
      </c>
      <c r="I58" t="str">
        <f t="shared" ca="1" si="6"/>
        <v>Yes</v>
      </c>
      <c r="J58" t="str">
        <f t="shared" ca="1" si="7"/>
        <v>Medium</v>
      </c>
      <c r="K58" t="str">
        <f t="shared" ca="1" si="8"/>
        <v>Pass</v>
      </c>
      <c r="L58" s="4" t="str" cm="1">
        <f t="array" aca="1" ref="L58" ca="1">_xlfn.IFS(D58&gt;=85,"A", D58&gt;=70,"B", D58&gt;=50,"C", D58&lt;50,"D")</f>
        <v>D</v>
      </c>
      <c r="M58" t="str">
        <f t="shared" ca="1" si="9"/>
        <v>Low</v>
      </c>
    </row>
    <row r="59" spans="1:13" x14ac:dyDescent="0.3">
      <c r="A59" t="s">
        <v>101</v>
      </c>
      <c r="B59" t="str">
        <f t="shared" ca="1" si="0"/>
        <v>10-B</v>
      </c>
      <c r="C59" t="str">
        <f t="shared" ca="1" si="1"/>
        <v>English</v>
      </c>
      <c r="D59">
        <f t="shared" ca="1" si="2"/>
        <v>56.3</v>
      </c>
      <c r="E59">
        <v>100</v>
      </c>
      <c r="F59">
        <f t="shared" ca="1" si="3"/>
        <v>53</v>
      </c>
      <c r="G59" t="str">
        <f t="shared" ca="1" si="4"/>
        <v>None</v>
      </c>
      <c r="H59" t="str">
        <f t="shared" ca="1" si="5"/>
        <v>Yes</v>
      </c>
      <c r="I59" t="str">
        <f t="shared" ca="1" si="6"/>
        <v>Yes</v>
      </c>
      <c r="J59" t="str">
        <f t="shared" ca="1" si="7"/>
        <v>Low</v>
      </c>
      <c r="K59" t="str">
        <f t="shared" ca="1" si="8"/>
        <v>Pass</v>
      </c>
      <c r="L59" s="4" t="str" cm="1">
        <f t="array" aca="1" ref="L59" ca="1">_xlfn.IFS(D59&gt;=85,"A", D59&gt;=70,"B", D59&gt;=50,"C", D59&lt;50,"D")</f>
        <v>C</v>
      </c>
      <c r="M59" t="str">
        <f t="shared" ca="1" si="9"/>
        <v>Low</v>
      </c>
    </row>
    <row r="60" spans="1:13" x14ac:dyDescent="0.3">
      <c r="A60" t="s">
        <v>102</v>
      </c>
      <c r="B60" t="str">
        <f t="shared" ca="1" si="0"/>
        <v>10-B</v>
      </c>
      <c r="C60" t="str">
        <f t="shared" ca="1" si="1"/>
        <v>Math</v>
      </c>
      <c r="D60">
        <f t="shared" ca="1" si="2"/>
        <v>61.8</v>
      </c>
      <c r="E60">
        <v>100</v>
      </c>
      <c r="F60">
        <f t="shared" ca="1" si="3"/>
        <v>78</v>
      </c>
      <c r="G60" t="str">
        <f t="shared" ca="1" si="4"/>
        <v>Completed</v>
      </c>
      <c r="H60" t="str">
        <f t="shared" ca="1" si="5"/>
        <v>No</v>
      </c>
      <c r="I60" t="str">
        <f t="shared" ca="1" si="6"/>
        <v>No</v>
      </c>
      <c r="J60" t="str">
        <f t="shared" ca="1" si="7"/>
        <v>High</v>
      </c>
      <c r="K60" t="str">
        <f t="shared" ca="1" si="8"/>
        <v>Pass</v>
      </c>
      <c r="L60" s="4" t="str" cm="1">
        <f t="array" aca="1" ref="L60" ca="1">_xlfn.IFS(D60&gt;=85,"A", D60&gt;=70,"B", D60&gt;=50,"C", D60&lt;50,"D")</f>
        <v>C</v>
      </c>
      <c r="M60" t="str">
        <f t="shared" ca="1" si="9"/>
        <v>Medium</v>
      </c>
    </row>
    <row r="61" spans="1:13" x14ac:dyDescent="0.3">
      <c r="A61" t="s">
        <v>103</v>
      </c>
      <c r="B61" t="str">
        <f t="shared" ca="1" si="0"/>
        <v>10-B</v>
      </c>
      <c r="C61" t="str">
        <f t="shared" ca="1" si="1"/>
        <v>Math</v>
      </c>
      <c r="D61">
        <f t="shared" ca="1" si="2"/>
        <v>53.9</v>
      </c>
      <c r="E61">
        <v>100</v>
      </c>
      <c r="F61">
        <f t="shared" ca="1" si="3"/>
        <v>69</v>
      </c>
      <c r="G61" t="str">
        <f t="shared" ca="1" si="4"/>
        <v>None</v>
      </c>
      <c r="H61" t="str">
        <f t="shared" ca="1" si="5"/>
        <v>No</v>
      </c>
      <c r="I61" t="str">
        <f t="shared" ca="1" si="6"/>
        <v>No</v>
      </c>
      <c r="J61" t="str">
        <f t="shared" ca="1" si="7"/>
        <v>High</v>
      </c>
      <c r="K61" t="str">
        <f t="shared" ca="1" si="8"/>
        <v>Pass</v>
      </c>
      <c r="L61" s="4" t="str" cm="1">
        <f t="array" aca="1" ref="L61" ca="1">_xlfn.IFS(D61&gt;=85,"A", D61&gt;=70,"B", D61&gt;=50,"C", D61&lt;50,"D")</f>
        <v>C</v>
      </c>
      <c r="M61" t="str">
        <f t="shared" ca="1" si="9"/>
        <v>Low</v>
      </c>
    </row>
    <row r="62" spans="1:13" x14ac:dyDescent="0.3">
      <c r="A62" t="s">
        <v>104</v>
      </c>
      <c r="B62" t="str">
        <f t="shared" ca="1" si="0"/>
        <v>10-A</v>
      </c>
      <c r="C62" t="str">
        <f t="shared" ca="1" si="1"/>
        <v>English</v>
      </c>
      <c r="D62">
        <f t="shared" ca="1" si="2"/>
        <v>54.5</v>
      </c>
      <c r="E62">
        <v>100</v>
      </c>
      <c r="F62">
        <f t="shared" ca="1" si="3"/>
        <v>65</v>
      </c>
      <c r="G62" t="str">
        <f t="shared" ca="1" si="4"/>
        <v>None</v>
      </c>
      <c r="H62" t="str">
        <f t="shared" ca="1" si="5"/>
        <v>Yes</v>
      </c>
      <c r="I62" t="str">
        <f t="shared" ca="1" si="6"/>
        <v>Yes</v>
      </c>
      <c r="J62" t="str">
        <f t="shared" ca="1" si="7"/>
        <v>Low</v>
      </c>
      <c r="K62" t="str">
        <f t="shared" ca="1" si="8"/>
        <v>Pass</v>
      </c>
      <c r="L62" s="4" t="str" cm="1">
        <f t="array" aca="1" ref="L62" ca="1">_xlfn.IFS(D62&gt;=85,"A", D62&gt;=70,"B", D62&gt;=50,"C", D62&lt;50,"D")</f>
        <v>C</v>
      </c>
      <c r="M62" t="str">
        <f t="shared" ca="1" si="9"/>
        <v>Low</v>
      </c>
    </row>
    <row r="63" spans="1:13" x14ac:dyDescent="0.3">
      <c r="A63" t="s">
        <v>105</v>
      </c>
      <c r="B63" t="str">
        <f t="shared" ca="1" si="0"/>
        <v>10-C</v>
      </c>
      <c r="C63" t="str">
        <f t="shared" ca="1" si="1"/>
        <v>Math</v>
      </c>
      <c r="D63">
        <f t="shared" ca="1" si="2"/>
        <v>86.2</v>
      </c>
      <c r="E63">
        <v>100</v>
      </c>
      <c r="F63">
        <f t="shared" ca="1" si="3"/>
        <v>92</v>
      </c>
      <c r="G63" t="str">
        <f t="shared" ca="1" si="4"/>
        <v>None</v>
      </c>
      <c r="H63" t="str">
        <f t="shared" ca="1" si="5"/>
        <v>Yes</v>
      </c>
      <c r="I63" t="str">
        <f t="shared" ca="1" si="6"/>
        <v>Yes</v>
      </c>
      <c r="J63" t="str">
        <f t="shared" ca="1" si="7"/>
        <v>Low</v>
      </c>
      <c r="K63" t="str">
        <f t="shared" ca="1" si="8"/>
        <v>Pass</v>
      </c>
      <c r="L63" s="4" t="str" cm="1">
        <f t="array" aca="1" ref="L63" ca="1">_xlfn.IFS(D63&gt;=85,"A", D63&gt;=70,"B", D63&gt;=50,"C", D63&lt;50,"D")</f>
        <v>A</v>
      </c>
      <c r="M63" t="str">
        <f t="shared" ca="1" si="9"/>
        <v>High</v>
      </c>
    </row>
    <row r="64" spans="1:13" x14ac:dyDescent="0.3">
      <c r="A64" t="s">
        <v>106</v>
      </c>
      <c r="B64" t="str">
        <f t="shared" ca="1" si="0"/>
        <v>10-A</v>
      </c>
      <c r="C64" t="str">
        <f t="shared" ca="1" si="1"/>
        <v>Math</v>
      </c>
      <c r="D64">
        <f t="shared" ca="1" si="2"/>
        <v>39.4</v>
      </c>
      <c r="E64">
        <v>100</v>
      </c>
      <c r="F64">
        <f t="shared" ca="1" si="3"/>
        <v>94</v>
      </c>
      <c r="G64" t="str">
        <f t="shared" ca="1" si="4"/>
        <v>Completed</v>
      </c>
      <c r="H64" t="str">
        <f t="shared" ca="1" si="5"/>
        <v>Yes</v>
      </c>
      <c r="I64" t="str">
        <f t="shared" ca="1" si="6"/>
        <v>Yes</v>
      </c>
      <c r="J64" t="str">
        <f t="shared" ca="1" si="7"/>
        <v>Medium</v>
      </c>
      <c r="K64" t="str">
        <f t="shared" ca="1" si="8"/>
        <v>Fail</v>
      </c>
      <c r="L64" s="4" t="str" cm="1">
        <f t="array" aca="1" ref="L64" ca="1">_xlfn.IFS(D64&gt;=85,"A", D64&gt;=70,"B", D64&gt;=50,"C", D64&lt;50,"D")</f>
        <v>D</v>
      </c>
      <c r="M64" t="str">
        <f t="shared" ca="1" si="9"/>
        <v>High</v>
      </c>
    </row>
    <row r="65" spans="1:13" x14ac:dyDescent="0.3">
      <c r="A65" t="s">
        <v>107</v>
      </c>
      <c r="B65" t="str">
        <f t="shared" ca="1" si="0"/>
        <v>10-B</v>
      </c>
      <c r="C65" t="str">
        <f t="shared" ca="1" si="1"/>
        <v>Science</v>
      </c>
      <c r="D65">
        <f t="shared" ca="1" si="2"/>
        <v>55.4</v>
      </c>
      <c r="E65">
        <v>100</v>
      </c>
      <c r="F65">
        <f t="shared" ca="1" si="3"/>
        <v>74</v>
      </c>
      <c r="G65" t="str">
        <f t="shared" ca="1" si="4"/>
        <v>None</v>
      </c>
      <c r="H65" t="str">
        <f t="shared" ca="1" si="5"/>
        <v>No</v>
      </c>
      <c r="I65" t="str">
        <f t="shared" ca="1" si="6"/>
        <v>Yes</v>
      </c>
      <c r="J65" t="str">
        <f t="shared" ca="1" si="7"/>
        <v>Low</v>
      </c>
      <c r="K65" t="str">
        <f t="shared" ca="1" si="8"/>
        <v>Pass</v>
      </c>
      <c r="L65" s="4" t="str" cm="1">
        <f t="array" aca="1" ref="L65" ca="1">_xlfn.IFS(D65&gt;=85,"A", D65&gt;=70,"B", D65&gt;=50,"C", D65&lt;50,"D")</f>
        <v>C</v>
      </c>
      <c r="M65" t="str">
        <f t="shared" ca="1" si="9"/>
        <v>Low</v>
      </c>
    </row>
    <row r="66" spans="1:13" x14ac:dyDescent="0.3">
      <c r="A66" t="s">
        <v>108</v>
      </c>
      <c r="B66" t="str">
        <f t="shared" ca="1" si="0"/>
        <v>10-A</v>
      </c>
      <c r="C66" t="str">
        <f t="shared" ca="1" si="1"/>
        <v>Science</v>
      </c>
      <c r="D66">
        <f t="shared" ca="1" si="2"/>
        <v>76.8</v>
      </c>
      <c r="E66">
        <v>100</v>
      </c>
      <c r="F66">
        <f t="shared" ca="1" si="3"/>
        <v>98</v>
      </c>
      <c r="G66" t="str">
        <f t="shared" ca="1" si="4"/>
        <v>None</v>
      </c>
      <c r="H66" t="str">
        <f t="shared" ca="1" si="5"/>
        <v>Yes</v>
      </c>
      <c r="I66" t="str">
        <f t="shared" ca="1" si="6"/>
        <v>Yes</v>
      </c>
      <c r="J66" t="str">
        <f t="shared" ca="1" si="7"/>
        <v>Low</v>
      </c>
      <c r="K66" t="str">
        <f t="shared" ca="1" si="8"/>
        <v>Pass</v>
      </c>
      <c r="L66" s="4" t="str" cm="1">
        <f t="array" aca="1" ref="L66" ca="1">_xlfn.IFS(D66&gt;=85,"A", D66&gt;=70,"B", D66&gt;=50,"C", D66&lt;50,"D")</f>
        <v>B</v>
      </c>
      <c r="M66" t="str">
        <f t="shared" ca="1" si="9"/>
        <v>High</v>
      </c>
    </row>
    <row r="67" spans="1:13" x14ac:dyDescent="0.3">
      <c r="A67" t="s">
        <v>109</v>
      </c>
      <c r="B67" t="str">
        <f t="shared" ref="B67:B130" ca="1" si="10">CHOOSE(RANDBETWEEN(1,3), "10-A", "10-B", "10-C")</f>
        <v>10-A</v>
      </c>
      <c r="C67" t="str">
        <f t="shared" ref="C67:C130" ca="1" si="11">CHOOSE(RANDBETWEEN(1,3), "Math", "Science", "English")</f>
        <v>Science</v>
      </c>
      <c r="D67">
        <f t="shared" ref="D67:D130" ca="1" si="12">MIN(100, RANDBETWEEN(30, 80) + (F67/10))</f>
        <v>52.1</v>
      </c>
      <c r="E67">
        <v>100</v>
      </c>
      <c r="F67">
        <f t="shared" ref="F67:F130" ca="1" si="13">RANDBETWEEN(40, 100)</f>
        <v>91</v>
      </c>
      <c r="G67" t="str">
        <f t="shared" ref="G67:G130" ca="1" si="14">IF(RANDBETWEEN(0,1)=1, "Completed", "None")</f>
        <v>None</v>
      </c>
      <c r="H67" t="str">
        <f t="shared" ref="H67:H130" ca="1" si="15">IF(RANDBETWEEN(1,10)&gt;3, "Yes", "No")</f>
        <v>No</v>
      </c>
      <c r="I67" t="str">
        <f t="shared" ref="I67:I130" ca="1" si="16">IF(RANDBETWEEN(1,10)&gt;3, "Yes", "No")</f>
        <v>Yes</v>
      </c>
      <c r="J67" t="str">
        <f t="shared" ref="J67:J130" ca="1" si="17">IF(TRIM(I67)="No", IF(VALUE(D67)&lt;50, "Critical", "High"), IF(VALUE(D67)&lt;50, "Medium", "Low"))</f>
        <v>Low</v>
      </c>
      <c r="K67" t="str">
        <f t="shared" ref="K67:K130" ca="1" si="18">IF(D67&gt;=40, "Pass", "Fail")</f>
        <v>Pass</v>
      </c>
      <c r="L67" s="4" t="str" cm="1">
        <f t="array" aca="1" ref="L67" ca="1">_xlfn.IFS(D67&gt;=85,"A", D67&gt;=70,"B", D67&gt;=50,"C", D67&lt;50,"D")</f>
        <v>C</v>
      </c>
      <c r="M67" t="str">
        <f t="shared" ref="M67:M130" ca="1" si="19">IF(F67&gt;=85, "High", IF(F67&gt;=75, "Medium", "Low"))</f>
        <v>High</v>
      </c>
    </row>
    <row r="68" spans="1:13" x14ac:dyDescent="0.3">
      <c r="A68" t="s">
        <v>110</v>
      </c>
      <c r="B68" t="str">
        <f t="shared" ca="1" si="10"/>
        <v>10-C</v>
      </c>
      <c r="C68" t="str">
        <f t="shared" ca="1" si="11"/>
        <v>Science</v>
      </c>
      <c r="D68">
        <f t="shared" ca="1" si="12"/>
        <v>78.099999999999994</v>
      </c>
      <c r="E68">
        <v>100</v>
      </c>
      <c r="F68">
        <f t="shared" ca="1" si="13"/>
        <v>81</v>
      </c>
      <c r="G68" t="str">
        <f t="shared" ca="1" si="14"/>
        <v>Completed</v>
      </c>
      <c r="H68" t="str">
        <f t="shared" ca="1" si="15"/>
        <v>No</v>
      </c>
      <c r="I68" t="str">
        <f t="shared" ca="1" si="16"/>
        <v>Yes</v>
      </c>
      <c r="J68" t="str">
        <f t="shared" ca="1" si="17"/>
        <v>Low</v>
      </c>
      <c r="K68" t="str">
        <f t="shared" ca="1" si="18"/>
        <v>Pass</v>
      </c>
      <c r="L68" s="4" t="str" cm="1">
        <f t="array" aca="1" ref="L68" ca="1">_xlfn.IFS(D68&gt;=85,"A", D68&gt;=70,"B", D68&gt;=50,"C", D68&lt;50,"D")</f>
        <v>B</v>
      </c>
      <c r="M68" t="str">
        <f t="shared" ca="1" si="19"/>
        <v>Medium</v>
      </c>
    </row>
    <row r="69" spans="1:13" x14ac:dyDescent="0.3">
      <c r="A69" t="s">
        <v>111</v>
      </c>
      <c r="B69" t="str">
        <f t="shared" ca="1" si="10"/>
        <v>10-B</v>
      </c>
      <c r="C69" t="str">
        <f t="shared" ca="1" si="11"/>
        <v>Math</v>
      </c>
      <c r="D69">
        <f t="shared" ca="1" si="12"/>
        <v>85.2</v>
      </c>
      <c r="E69">
        <v>100</v>
      </c>
      <c r="F69">
        <f t="shared" ca="1" si="13"/>
        <v>72</v>
      </c>
      <c r="G69" t="str">
        <f t="shared" ca="1" si="14"/>
        <v>Completed</v>
      </c>
      <c r="H69" t="str">
        <f t="shared" ca="1" si="15"/>
        <v>Yes</v>
      </c>
      <c r="I69" t="str">
        <f t="shared" ca="1" si="16"/>
        <v>No</v>
      </c>
      <c r="J69" t="str">
        <f t="shared" ca="1" si="17"/>
        <v>High</v>
      </c>
      <c r="K69" t="str">
        <f t="shared" ca="1" si="18"/>
        <v>Pass</v>
      </c>
      <c r="L69" s="4" t="str" cm="1">
        <f t="array" aca="1" ref="L69" ca="1">_xlfn.IFS(D69&gt;=85,"A", D69&gt;=70,"B", D69&gt;=50,"C", D69&lt;50,"D")</f>
        <v>A</v>
      </c>
      <c r="M69" t="str">
        <f t="shared" ca="1" si="19"/>
        <v>Low</v>
      </c>
    </row>
    <row r="70" spans="1:13" x14ac:dyDescent="0.3">
      <c r="A70" t="s">
        <v>112</v>
      </c>
      <c r="B70" t="str">
        <f t="shared" ca="1" si="10"/>
        <v>10-C</v>
      </c>
      <c r="C70" t="str">
        <f t="shared" ca="1" si="11"/>
        <v>Math</v>
      </c>
      <c r="D70">
        <f t="shared" ca="1" si="12"/>
        <v>67.5</v>
      </c>
      <c r="E70">
        <v>100</v>
      </c>
      <c r="F70">
        <f t="shared" ca="1" si="13"/>
        <v>65</v>
      </c>
      <c r="G70" t="str">
        <f t="shared" ca="1" si="14"/>
        <v>None</v>
      </c>
      <c r="H70" t="str">
        <f t="shared" ca="1" si="15"/>
        <v>No</v>
      </c>
      <c r="I70" t="str">
        <f t="shared" ca="1" si="16"/>
        <v>Yes</v>
      </c>
      <c r="J70" t="str">
        <f t="shared" ca="1" si="17"/>
        <v>Low</v>
      </c>
      <c r="K70" t="str">
        <f t="shared" ca="1" si="18"/>
        <v>Pass</v>
      </c>
      <c r="L70" s="4" t="str" cm="1">
        <f t="array" aca="1" ref="L70" ca="1">_xlfn.IFS(D70&gt;=85,"A", D70&gt;=70,"B", D70&gt;=50,"C", D70&lt;50,"D")</f>
        <v>C</v>
      </c>
      <c r="M70" t="str">
        <f t="shared" ca="1" si="19"/>
        <v>Low</v>
      </c>
    </row>
    <row r="71" spans="1:13" x14ac:dyDescent="0.3">
      <c r="A71" t="s">
        <v>113</v>
      </c>
      <c r="B71" t="str">
        <f t="shared" ca="1" si="10"/>
        <v>10-A</v>
      </c>
      <c r="C71" t="str">
        <f t="shared" ca="1" si="11"/>
        <v>Science</v>
      </c>
      <c r="D71">
        <f t="shared" ca="1" si="12"/>
        <v>56.6</v>
      </c>
      <c r="E71">
        <v>100</v>
      </c>
      <c r="F71">
        <f t="shared" ca="1" si="13"/>
        <v>56</v>
      </c>
      <c r="G71" t="str">
        <f t="shared" ca="1" si="14"/>
        <v>Completed</v>
      </c>
      <c r="H71" t="str">
        <f t="shared" ca="1" si="15"/>
        <v>No</v>
      </c>
      <c r="I71" t="str">
        <f t="shared" ca="1" si="16"/>
        <v>Yes</v>
      </c>
      <c r="J71" t="str">
        <f t="shared" ca="1" si="17"/>
        <v>Low</v>
      </c>
      <c r="K71" t="str">
        <f t="shared" ca="1" si="18"/>
        <v>Pass</v>
      </c>
      <c r="L71" s="4" t="str" cm="1">
        <f t="array" aca="1" ref="L71" ca="1">_xlfn.IFS(D71&gt;=85,"A", D71&gt;=70,"B", D71&gt;=50,"C", D71&lt;50,"D")</f>
        <v>C</v>
      </c>
      <c r="M71" t="str">
        <f t="shared" ca="1" si="19"/>
        <v>Low</v>
      </c>
    </row>
    <row r="72" spans="1:13" x14ac:dyDescent="0.3">
      <c r="A72" t="s">
        <v>114</v>
      </c>
      <c r="B72" t="str">
        <f t="shared" ca="1" si="10"/>
        <v>10-B</v>
      </c>
      <c r="C72" t="str">
        <f t="shared" ca="1" si="11"/>
        <v>Math</v>
      </c>
      <c r="D72">
        <f t="shared" ca="1" si="12"/>
        <v>63.9</v>
      </c>
      <c r="E72">
        <v>100</v>
      </c>
      <c r="F72">
        <f t="shared" ca="1" si="13"/>
        <v>79</v>
      </c>
      <c r="G72" t="str">
        <f t="shared" ca="1" si="14"/>
        <v>None</v>
      </c>
      <c r="H72" t="str">
        <f t="shared" ca="1" si="15"/>
        <v>No</v>
      </c>
      <c r="I72" t="str">
        <f t="shared" ca="1" si="16"/>
        <v>No</v>
      </c>
      <c r="J72" t="str">
        <f t="shared" ca="1" si="17"/>
        <v>High</v>
      </c>
      <c r="K72" t="str">
        <f t="shared" ca="1" si="18"/>
        <v>Pass</v>
      </c>
      <c r="L72" s="4" t="str" cm="1">
        <f t="array" aca="1" ref="L72" ca="1">_xlfn.IFS(D72&gt;=85,"A", D72&gt;=70,"B", D72&gt;=50,"C", D72&lt;50,"D")</f>
        <v>C</v>
      </c>
      <c r="M72" t="str">
        <f t="shared" ca="1" si="19"/>
        <v>Medium</v>
      </c>
    </row>
    <row r="73" spans="1:13" x14ac:dyDescent="0.3">
      <c r="A73" t="s">
        <v>115</v>
      </c>
      <c r="B73" t="str">
        <f t="shared" ca="1" si="10"/>
        <v>10-C</v>
      </c>
      <c r="C73" t="str">
        <f t="shared" ca="1" si="11"/>
        <v>Science</v>
      </c>
      <c r="D73">
        <f t="shared" ca="1" si="12"/>
        <v>64.900000000000006</v>
      </c>
      <c r="E73">
        <v>100</v>
      </c>
      <c r="F73">
        <f t="shared" ca="1" si="13"/>
        <v>89</v>
      </c>
      <c r="G73" t="str">
        <f t="shared" ca="1" si="14"/>
        <v>None</v>
      </c>
      <c r="H73" t="str">
        <f t="shared" ca="1" si="15"/>
        <v>Yes</v>
      </c>
      <c r="I73" t="str">
        <f t="shared" ca="1" si="16"/>
        <v>Yes</v>
      </c>
      <c r="J73" t="str">
        <f t="shared" ca="1" si="17"/>
        <v>Low</v>
      </c>
      <c r="K73" t="str">
        <f t="shared" ca="1" si="18"/>
        <v>Pass</v>
      </c>
      <c r="L73" s="4" t="str" cm="1">
        <f t="array" aca="1" ref="L73" ca="1">_xlfn.IFS(D73&gt;=85,"A", D73&gt;=70,"B", D73&gt;=50,"C", D73&lt;50,"D")</f>
        <v>C</v>
      </c>
      <c r="M73" t="str">
        <f t="shared" ca="1" si="19"/>
        <v>High</v>
      </c>
    </row>
    <row r="74" spans="1:13" x14ac:dyDescent="0.3">
      <c r="A74" t="s">
        <v>116</v>
      </c>
      <c r="B74" t="str">
        <f t="shared" ca="1" si="10"/>
        <v>10-A</v>
      </c>
      <c r="C74" t="str">
        <f t="shared" ca="1" si="11"/>
        <v>Math</v>
      </c>
      <c r="D74">
        <f t="shared" ca="1" si="12"/>
        <v>52.2</v>
      </c>
      <c r="E74">
        <v>100</v>
      </c>
      <c r="F74">
        <f t="shared" ca="1" si="13"/>
        <v>82</v>
      </c>
      <c r="G74" t="str">
        <f t="shared" ca="1" si="14"/>
        <v>None</v>
      </c>
      <c r="H74" t="str">
        <f t="shared" ca="1" si="15"/>
        <v>Yes</v>
      </c>
      <c r="I74" t="str">
        <f t="shared" ca="1" si="16"/>
        <v>No</v>
      </c>
      <c r="J74" t="str">
        <f t="shared" ca="1" si="17"/>
        <v>High</v>
      </c>
      <c r="K74" t="str">
        <f t="shared" ca="1" si="18"/>
        <v>Pass</v>
      </c>
      <c r="L74" s="4" t="str" cm="1">
        <f t="array" aca="1" ref="L74" ca="1">_xlfn.IFS(D74&gt;=85,"A", D74&gt;=70,"B", D74&gt;=50,"C", D74&lt;50,"D")</f>
        <v>C</v>
      </c>
      <c r="M74" t="str">
        <f t="shared" ca="1" si="19"/>
        <v>Medium</v>
      </c>
    </row>
    <row r="75" spans="1:13" x14ac:dyDescent="0.3">
      <c r="A75" t="s">
        <v>117</v>
      </c>
      <c r="B75" t="str">
        <f t="shared" ca="1" si="10"/>
        <v>10-A</v>
      </c>
      <c r="C75" t="str">
        <f t="shared" ca="1" si="11"/>
        <v>Math</v>
      </c>
      <c r="D75">
        <f t="shared" ca="1" si="12"/>
        <v>65.2</v>
      </c>
      <c r="E75">
        <v>100</v>
      </c>
      <c r="F75">
        <f t="shared" ca="1" si="13"/>
        <v>62</v>
      </c>
      <c r="G75" t="str">
        <f t="shared" ca="1" si="14"/>
        <v>None</v>
      </c>
      <c r="H75" t="str">
        <f t="shared" ca="1" si="15"/>
        <v>Yes</v>
      </c>
      <c r="I75" t="str">
        <f t="shared" ca="1" si="16"/>
        <v>No</v>
      </c>
      <c r="J75" t="str">
        <f t="shared" ca="1" si="17"/>
        <v>High</v>
      </c>
      <c r="K75" t="str">
        <f t="shared" ca="1" si="18"/>
        <v>Pass</v>
      </c>
      <c r="L75" s="4" t="str" cm="1">
        <f t="array" aca="1" ref="L75" ca="1">_xlfn.IFS(D75&gt;=85,"A", D75&gt;=70,"B", D75&gt;=50,"C", D75&lt;50,"D")</f>
        <v>C</v>
      </c>
      <c r="M75" t="str">
        <f t="shared" ca="1" si="19"/>
        <v>Low</v>
      </c>
    </row>
    <row r="76" spans="1:13" x14ac:dyDescent="0.3">
      <c r="A76" t="s">
        <v>118</v>
      </c>
      <c r="B76" t="str">
        <f t="shared" ca="1" si="10"/>
        <v>10-B</v>
      </c>
      <c r="C76" t="str">
        <f t="shared" ca="1" si="11"/>
        <v>Science</v>
      </c>
      <c r="D76">
        <f t="shared" ca="1" si="12"/>
        <v>41.1</v>
      </c>
      <c r="E76">
        <v>100</v>
      </c>
      <c r="F76">
        <f t="shared" ca="1" si="13"/>
        <v>91</v>
      </c>
      <c r="G76" t="str">
        <f t="shared" ca="1" si="14"/>
        <v>None</v>
      </c>
      <c r="H76" t="str">
        <f t="shared" ca="1" si="15"/>
        <v>Yes</v>
      </c>
      <c r="I76" t="str">
        <f t="shared" ca="1" si="16"/>
        <v>No</v>
      </c>
      <c r="J76" t="str">
        <f t="shared" ca="1" si="17"/>
        <v>Critical</v>
      </c>
      <c r="K76" t="str">
        <f t="shared" ca="1" si="18"/>
        <v>Pass</v>
      </c>
      <c r="L76" s="4" t="str" cm="1">
        <f t="array" aca="1" ref="L76" ca="1">_xlfn.IFS(D76&gt;=85,"A", D76&gt;=70,"B", D76&gt;=50,"C", D76&lt;50,"D")</f>
        <v>D</v>
      </c>
      <c r="M76" t="str">
        <f t="shared" ca="1" si="19"/>
        <v>High</v>
      </c>
    </row>
    <row r="77" spans="1:13" x14ac:dyDescent="0.3">
      <c r="A77" t="s">
        <v>119</v>
      </c>
      <c r="B77" t="str">
        <f t="shared" ca="1" si="10"/>
        <v>10-C</v>
      </c>
      <c r="C77" t="str">
        <f t="shared" ca="1" si="11"/>
        <v>English</v>
      </c>
      <c r="D77">
        <f t="shared" ca="1" si="12"/>
        <v>72.3</v>
      </c>
      <c r="E77">
        <v>100</v>
      </c>
      <c r="F77">
        <f t="shared" ca="1" si="13"/>
        <v>43</v>
      </c>
      <c r="G77" t="str">
        <f t="shared" ca="1" si="14"/>
        <v>Completed</v>
      </c>
      <c r="H77" t="str">
        <f t="shared" ca="1" si="15"/>
        <v>No</v>
      </c>
      <c r="I77" t="str">
        <f t="shared" ca="1" si="16"/>
        <v>Yes</v>
      </c>
      <c r="J77" t="str">
        <f t="shared" ca="1" si="17"/>
        <v>Low</v>
      </c>
      <c r="K77" t="str">
        <f t="shared" ca="1" si="18"/>
        <v>Pass</v>
      </c>
      <c r="L77" s="4" t="str" cm="1">
        <f t="array" aca="1" ref="L77" ca="1">_xlfn.IFS(D77&gt;=85,"A", D77&gt;=70,"B", D77&gt;=50,"C", D77&lt;50,"D")</f>
        <v>B</v>
      </c>
      <c r="M77" t="str">
        <f t="shared" ca="1" si="19"/>
        <v>Low</v>
      </c>
    </row>
    <row r="78" spans="1:13" x14ac:dyDescent="0.3">
      <c r="A78" t="s">
        <v>120</v>
      </c>
      <c r="B78" t="str">
        <f t="shared" ca="1" si="10"/>
        <v>10-A</v>
      </c>
      <c r="C78" t="str">
        <f t="shared" ca="1" si="11"/>
        <v>Math</v>
      </c>
      <c r="D78">
        <f t="shared" ca="1" si="12"/>
        <v>65.599999999999994</v>
      </c>
      <c r="E78">
        <v>100</v>
      </c>
      <c r="F78">
        <f t="shared" ca="1" si="13"/>
        <v>76</v>
      </c>
      <c r="G78" t="str">
        <f t="shared" ca="1" si="14"/>
        <v>Completed</v>
      </c>
      <c r="H78" t="str">
        <f t="shared" ca="1" si="15"/>
        <v>Yes</v>
      </c>
      <c r="I78" t="str">
        <f t="shared" ca="1" si="16"/>
        <v>Yes</v>
      </c>
      <c r="J78" t="str">
        <f t="shared" ca="1" si="17"/>
        <v>Low</v>
      </c>
      <c r="K78" t="str">
        <f t="shared" ca="1" si="18"/>
        <v>Pass</v>
      </c>
      <c r="L78" s="4" t="str" cm="1">
        <f t="array" aca="1" ref="L78" ca="1">_xlfn.IFS(D78&gt;=85,"A", D78&gt;=70,"B", D78&gt;=50,"C", D78&lt;50,"D")</f>
        <v>C</v>
      </c>
      <c r="M78" t="str">
        <f t="shared" ca="1" si="19"/>
        <v>Medium</v>
      </c>
    </row>
    <row r="79" spans="1:13" x14ac:dyDescent="0.3">
      <c r="A79" t="s">
        <v>121</v>
      </c>
      <c r="B79" t="str">
        <f t="shared" ca="1" si="10"/>
        <v>10-C</v>
      </c>
      <c r="C79" t="str">
        <f t="shared" ca="1" si="11"/>
        <v>English</v>
      </c>
      <c r="D79">
        <f t="shared" ca="1" si="12"/>
        <v>54.3</v>
      </c>
      <c r="E79">
        <v>100</v>
      </c>
      <c r="F79">
        <f t="shared" ca="1" si="13"/>
        <v>53</v>
      </c>
      <c r="G79" t="str">
        <f t="shared" ca="1" si="14"/>
        <v>None</v>
      </c>
      <c r="H79" t="str">
        <f t="shared" ca="1" si="15"/>
        <v>Yes</v>
      </c>
      <c r="I79" t="str">
        <f t="shared" ca="1" si="16"/>
        <v>No</v>
      </c>
      <c r="J79" t="str">
        <f t="shared" ca="1" si="17"/>
        <v>High</v>
      </c>
      <c r="K79" t="str">
        <f t="shared" ca="1" si="18"/>
        <v>Pass</v>
      </c>
      <c r="L79" s="4" t="str" cm="1">
        <f t="array" aca="1" ref="L79" ca="1">_xlfn.IFS(D79&gt;=85,"A", D79&gt;=70,"B", D79&gt;=50,"C", D79&lt;50,"D")</f>
        <v>C</v>
      </c>
      <c r="M79" t="str">
        <f t="shared" ca="1" si="19"/>
        <v>Low</v>
      </c>
    </row>
    <row r="80" spans="1:13" x14ac:dyDescent="0.3">
      <c r="A80" t="s">
        <v>122</v>
      </c>
      <c r="B80" t="str">
        <f t="shared" ca="1" si="10"/>
        <v>10-B</v>
      </c>
      <c r="C80" t="str">
        <f t="shared" ca="1" si="11"/>
        <v>Math</v>
      </c>
      <c r="D80">
        <f t="shared" ca="1" si="12"/>
        <v>42.3</v>
      </c>
      <c r="E80">
        <v>100</v>
      </c>
      <c r="F80">
        <f t="shared" ca="1" si="13"/>
        <v>83</v>
      </c>
      <c r="G80" t="str">
        <f t="shared" ca="1" si="14"/>
        <v>None</v>
      </c>
      <c r="H80" t="str">
        <f t="shared" ca="1" si="15"/>
        <v>Yes</v>
      </c>
      <c r="I80" t="str">
        <f t="shared" ca="1" si="16"/>
        <v>No</v>
      </c>
      <c r="J80" t="str">
        <f t="shared" ca="1" si="17"/>
        <v>Critical</v>
      </c>
      <c r="K80" t="str">
        <f t="shared" ca="1" si="18"/>
        <v>Pass</v>
      </c>
      <c r="L80" s="4" t="str" cm="1">
        <f t="array" aca="1" ref="L80" ca="1">_xlfn.IFS(D80&gt;=85,"A", D80&gt;=70,"B", D80&gt;=50,"C", D80&lt;50,"D")</f>
        <v>D</v>
      </c>
      <c r="M80" t="str">
        <f t="shared" ca="1" si="19"/>
        <v>Medium</v>
      </c>
    </row>
    <row r="81" spans="1:13" x14ac:dyDescent="0.3">
      <c r="A81" t="s">
        <v>123</v>
      </c>
      <c r="B81" t="str">
        <f t="shared" ca="1" si="10"/>
        <v>10-B</v>
      </c>
      <c r="C81" t="str">
        <f t="shared" ca="1" si="11"/>
        <v>Math</v>
      </c>
      <c r="D81">
        <f t="shared" ca="1" si="12"/>
        <v>66.400000000000006</v>
      </c>
      <c r="E81">
        <v>100</v>
      </c>
      <c r="F81">
        <f t="shared" ca="1" si="13"/>
        <v>84</v>
      </c>
      <c r="G81" t="str">
        <f t="shared" ca="1" si="14"/>
        <v>None</v>
      </c>
      <c r="H81" t="str">
        <f t="shared" ca="1" si="15"/>
        <v>Yes</v>
      </c>
      <c r="I81" t="str">
        <f t="shared" ca="1" si="16"/>
        <v>No</v>
      </c>
      <c r="J81" t="str">
        <f t="shared" ca="1" si="17"/>
        <v>High</v>
      </c>
      <c r="K81" t="str">
        <f t="shared" ca="1" si="18"/>
        <v>Pass</v>
      </c>
      <c r="L81" s="4" t="str" cm="1">
        <f t="array" aca="1" ref="L81" ca="1">_xlfn.IFS(D81&gt;=85,"A", D81&gt;=70,"B", D81&gt;=50,"C", D81&lt;50,"D")</f>
        <v>C</v>
      </c>
      <c r="M81" t="str">
        <f t="shared" ca="1" si="19"/>
        <v>Medium</v>
      </c>
    </row>
    <row r="82" spans="1:13" x14ac:dyDescent="0.3">
      <c r="A82" t="s">
        <v>124</v>
      </c>
      <c r="B82" t="str">
        <f t="shared" ca="1" si="10"/>
        <v>10-B</v>
      </c>
      <c r="C82" t="str">
        <f t="shared" ca="1" si="11"/>
        <v>English</v>
      </c>
      <c r="D82">
        <f t="shared" ca="1" si="12"/>
        <v>61.3</v>
      </c>
      <c r="E82">
        <v>100</v>
      </c>
      <c r="F82">
        <f t="shared" ca="1" si="13"/>
        <v>53</v>
      </c>
      <c r="G82" t="str">
        <f t="shared" ca="1" si="14"/>
        <v>None</v>
      </c>
      <c r="H82" t="str">
        <f t="shared" ca="1" si="15"/>
        <v>Yes</v>
      </c>
      <c r="I82" t="str">
        <f t="shared" ca="1" si="16"/>
        <v>Yes</v>
      </c>
      <c r="J82" t="str">
        <f t="shared" ca="1" si="17"/>
        <v>Low</v>
      </c>
      <c r="K82" t="str">
        <f t="shared" ca="1" si="18"/>
        <v>Pass</v>
      </c>
      <c r="L82" s="4" t="str" cm="1">
        <f t="array" aca="1" ref="L82" ca="1">_xlfn.IFS(D82&gt;=85,"A", D82&gt;=70,"B", D82&gt;=50,"C", D82&lt;50,"D")</f>
        <v>C</v>
      </c>
      <c r="M82" t="str">
        <f t="shared" ca="1" si="19"/>
        <v>Low</v>
      </c>
    </row>
    <row r="83" spans="1:13" x14ac:dyDescent="0.3">
      <c r="A83" t="s">
        <v>125</v>
      </c>
      <c r="B83" t="str">
        <f t="shared" ca="1" si="10"/>
        <v>10-A</v>
      </c>
      <c r="C83" t="str">
        <f t="shared" ca="1" si="11"/>
        <v>English</v>
      </c>
      <c r="D83">
        <f t="shared" ca="1" si="12"/>
        <v>40.200000000000003</v>
      </c>
      <c r="E83">
        <v>100</v>
      </c>
      <c r="F83">
        <f t="shared" ca="1" si="13"/>
        <v>92</v>
      </c>
      <c r="G83" t="str">
        <f t="shared" ca="1" si="14"/>
        <v>None</v>
      </c>
      <c r="H83" t="str">
        <f t="shared" ca="1" si="15"/>
        <v>Yes</v>
      </c>
      <c r="I83" t="str">
        <f t="shared" ca="1" si="16"/>
        <v>Yes</v>
      </c>
      <c r="J83" t="str">
        <f t="shared" ca="1" si="17"/>
        <v>Medium</v>
      </c>
      <c r="K83" t="str">
        <f t="shared" ca="1" si="18"/>
        <v>Pass</v>
      </c>
      <c r="L83" s="4" t="str" cm="1">
        <f t="array" aca="1" ref="L83" ca="1">_xlfn.IFS(D83&gt;=85,"A", D83&gt;=70,"B", D83&gt;=50,"C", D83&lt;50,"D")</f>
        <v>D</v>
      </c>
      <c r="M83" t="str">
        <f t="shared" ca="1" si="19"/>
        <v>High</v>
      </c>
    </row>
    <row r="84" spans="1:13" x14ac:dyDescent="0.3">
      <c r="A84" t="s">
        <v>126</v>
      </c>
      <c r="B84" t="str">
        <f t="shared" ca="1" si="10"/>
        <v>10-B</v>
      </c>
      <c r="C84" t="str">
        <f t="shared" ca="1" si="11"/>
        <v>Science</v>
      </c>
      <c r="D84">
        <f t="shared" ca="1" si="12"/>
        <v>79.599999999999994</v>
      </c>
      <c r="E84">
        <v>100</v>
      </c>
      <c r="F84">
        <f t="shared" ca="1" si="13"/>
        <v>66</v>
      </c>
      <c r="G84" t="str">
        <f t="shared" ca="1" si="14"/>
        <v>Completed</v>
      </c>
      <c r="H84" t="str">
        <f t="shared" ca="1" si="15"/>
        <v>No</v>
      </c>
      <c r="I84" t="str">
        <f t="shared" ca="1" si="16"/>
        <v>Yes</v>
      </c>
      <c r="J84" t="str">
        <f t="shared" ca="1" si="17"/>
        <v>Low</v>
      </c>
      <c r="K84" t="str">
        <f t="shared" ca="1" si="18"/>
        <v>Pass</v>
      </c>
      <c r="L84" s="4" t="str" cm="1">
        <f t="array" aca="1" ref="L84" ca="1">_xlfn.IFS(D84&gt;=85,"A", D84&gt;=70,"B", D84&gt;=50,"C", D84&lt;50,"D")</f>
        <v>B</v>
      </c>
      <c r="M84" t="str">
        <f t="shared" ca="1" si="19"/>
        <v>Low</v>
      </c>
    </row>
    <row r="85" spans="1:13" x14ac:dyDescent="0.3">
      <c r="A85" t="s">
        <v>127</v>
      </c>
      <c r="B85" t="str">
        <f t="shared" ca="1" si="10"/>
        <v>10-A</v>
      </c>
      <c r="C85" t="str">
        <f t="shared" ca="1" si="11"/>
        <v>English</v>
      </c>
      <c r="D85">
        <f t="shared" ca="1" si="12"/>
        <v>59.3</v>
      </c>
      <c r="E85">
        <v>100</v>
      </c>
      <c r="F85">
        <f t="shared" ca="1" si="13"/>
        <v>43</v>
      </c>
      <c r="G85" t="str">
        <f t="shared" ca="1" si="14"/>
        <v>Completed</v>
      </c>
      <c r="H85" t="str">
        <f t="shared" ca="1" si="15"/>
        <v>Yes</v>
      </c>
      <c r="I85" t="str">
        <f t="shared" ca="1" si="16"/>
        <v>Yes</v>
      </c>
      <c r="J85" t="str">
        <f t="shared" ca="1" si="17"/>
        <v>Low</v>
      </c>
      <c r="K85" t="str">
        <f t="shared" ca="1" si="18"/>
        <v>Pass</v>
      </c>
      <c r="L85" s="4" t="str" cm="1">
        <f t="array" aca="1" ref="L85" ca="1">_xlfn.IFS(D85&gt;=85,"A", D85&gt;=70,"B", D85&gt;=50,"C", D85&lt;50,"D")</f>
        <v>C</v>
      </c>
      <c r="M85" t="str">
        <f t="shared" ca="1" si="19"/>
        <v>Low</v>
      </c>
    </row>
    <row r="86" spans="1:13" x14ac:dyDescent="0.3">
      <c r="A86" t="s">
        <v>128</v>
      </c>
      <c r="B86" t="str">
        <f t="shared" ca="1" si="10"/>
        <v>10-C</v>
      </c>
      <c r="C86" t="str">
        <f t="shared" ca="1" si="11"/>
        <v>Science</v>
      </c>
      <c r="D86">
        <f t="shared" ca="1" si="12"/>
        <v>61.6</v>
      </c>
      <c r="E86">
        <v>100</v>
      </c>
      <c r="F86">
        <f t="shared" ca="1" si="13"/>
        <v>96</v>
      </c>
      <c r="G86" t="str">
        <f t="shared" ca="1" si="14"/>
        <v>None</v>
      </c>
      <c r="H86" t="str">
        <f t="shared" ca="1" si="15"/>
        <v>Yes</v>
      </c>
      <c r="I86" t="str">
        <f t="shared" ca="1" si="16"/>
        <v>Yes</v>
      </c>
      <c r="J86" t="str">
        <f t="shared" ca="1" si="17"/>
        <v>Low</v>
      </c>
      <c r="K86" t="str">
        <f t="shared" ca="1" si="18"/>
        <v>Pass</v>
      </c>
      <c r="L86" s="4" t="str" cm="1">
        <f t="array" aca="1" ref="L86" ca="1">_xlfn.IFS(D86&gt;=85,"A", D86&gt;=70,"B", D86&gt;=50,"C", D86&lt;50,"D")</f>
        <v>C</v>
      </c>
      <c r="M86" t="str">
        <f t="shared" ca="1" si="19"/>
        <v>High</v>
      </c>
    </row>
    <row r="87" spans="1:13" x14ac:dyDescent="0.3">
      <c r="A87" t="s">
        <v>129</v>
      </c>
      <c r="B87" t="str">
        <f t="shared" ca="1" si="10"/>
        <v>10-B</v>
      </c>
      <c r="C87" t="str">
        <f t="shared" ca="1" si="11"/>
        <v>Science</v>
      </c>
      <c r="D87">
        <f t="shared" ca="1" si="12"/>
        <v>70.5</v>
      </c>
      <c r="E87">
        <v>100</v>
      </c>
      <c r="F87">
        <f t="shared" ca="1" si="13"/>
        <v>75</v>
      </c>
      <c r="G87" t="str">
        <f t="shared" ca="1" si="14"/>
        <v>None</v>
      </c>
      <c r="H87" t="str">
        <f t="shared" ca="1" si="15"/>
        <v>No</v>
      </c>
      <c r="I87" t="str">
        <f t="shared" ca="1" si="16"/>
        <v>Yes</v>
      </c>
      <c r="J87" t="str">
        <f t="shared" ca="1" si="17"/>
        <v>Low</v>
      </c>
      <c r="K87" t="str">
        <f t="shared" ca="1" si="18"/>
        <v>Pass</v>
      </c>
      <c r="L87" s="4" t="str" cm="1">
        <f t="array" aca="1" ref="L87" ca="1">_xlfn.IFS(D87&gt;=85,"A", D87&gt;=70,"B", D87&gt;=50,"C", D87&lt;50,"D")</f>
        <v>B</v>
      </c>
      <c r="M87" t="str">
        <f t="shared" ca="1" si="19"/>
        <v>Medium</v>
      </c>
    </row>
    <row r="88" spans="1:13" x14ac:dyDescent="0.3">
      <c r="A88" t="s">
        <v>130</v>
      </c>
      <c r="B88" t="str">
        <f t="shared" ca="1" si="10"/>
        <v>10-C</v>
      </c>
      <c r="C88" t="str">
        <f t="shared" ca="1" si="11"/>
        <v>Science</v>
      </c>
      <c r="D88">
        <f t="shared" ca="1" si="12"/>
        <v>44.1</v>
      </c>
      <c r="E88">
        <v>100</v>
      </c>
      <c r="F88">
        <f t="shared" ca="1" si="13"/>
        <v>91</v>
      </c>
      <c r="G88" t="str">
        <f t="shared" ca="1" si="14"/>
        <v>Completed</v>
      </c>
      <c r="H88" t="str">
        <f t="shared" ca="1" si="15"/>
        <v>Yes</v>
      </c>
      <c r="I88" t="str">
        <f t="shared" ca="1" si="16"/>
        <v>Yes</v>
      </c>
      <c r="J88" t="str">
        <f t="shared" ca="1" si="17"/>
        <v>Medium</v>
      </c>
      <c r="K88" t="str">
        <f t="shared" ca="1" si="18"/>
        <v>Pass</v>
      </c>
      <c r="L88" s="4" t="str" cm="1">
        <f t="array" aca="1" ref="L88" ca="1">_xlfn.IFS(D88&gt;=85,"A", D88&gt;=70,"B", D88&gt;=50,"C", D88&lt;50,"D")</f>
        <v>D</v>
      </c>
      <c r="M88" t="str">
        <f t="shared" ca="1" si="19"/>
        <v>High</v>
      </c>
    </row>
    <row r="89" spans="1:13" x14ac:dyDescent="0.3">
      <c r="A89" t="s">
        <v>131</v>
      </c>
      <c r="B89" t="str">
        <f t="shared" ca="1" si="10"/>
        <v>10-B</v>
      </c>
      <c r="C89" t="str">
        <f t="shared" ca="1" si="11"/>
        <v>Math</v>
      </c>
      <c r="D89">
        <f t="shared" ca="1" si="12"/>
        <v>76.900000000000006</v>
      </c>
      <c r="E89">
        <v>100</v>
      </c>
      <c r="F89">
        <f t="shared" ca="1" si="13"/>
        <v>49</v>
      </c>
      <c r="G89" t="str">
        <f t="shared" ca="1" si="14"/>
        <v>None</v>
      </c>
      <c r="H89" t="str">
        <f t="shared" ca="1" si="15"/>
        <v>No</v>
      </c>
      <c r="I89" t="str">
        <f t="shared" ca="1" si="16"/>
        <v>No</v>
      </c>
      <c r="J89" t="str">
        <f t="shared" ca="1" si="17"/>
        <v>High</v>
      </c>
      <c r="K89" t="str">
        <f t="shared" ca="1" si="18"/>
        <v>Pass</v>
      </c>
      <c r="L89" s="4" t="str" cm="1">
        <f t="array" aca="1" ref="L89" ca="1">_xlfn.IFS(D89&gt;=85,"A", D89&gt;=70,"B", D89&gt;=50,"C", D89&lt;50,"D")</f>
        <v>B</v>
      </c>
      <c r="M89" t="str">
        <f t="shared" ca="1" si="19"/>
        <v>Low</v>
      </c>
    </row>
    <row r="90" spans="1:13" x14ac:dyDescent="0.3">
      <c r="A90" t="s">
        <v>132</v>
      </c>
      <c r="B90" t="str">
        <f t="shared" ca="1" si="10"/>
        <v>10-B</v>
      </c>
      <c r="C90" t="str">
        <f t="shared" ca="1" si="11"/>
        <v>English</v>
      </c>
      <c r="D90">
        <f t="shared" ca="1" si="12"/>
        <v>58.9</v>
      </c>
      <c r="E90">
        <v>100</v>
      </c>
      <c r="F90">
        <f t="shared" ca="1" si="13"/>
        <v>59</v>
      </c>
      <c r="G90" t="str">
        <f t="shared" ca="1" si="14"/>
        <v>None</v>
      </c>
      <c r="H90" t="str">
        <f t="shared" ca="1" si="15"/>
        <v>Yes</v>
      </c>
      <c r="I90" t="str">
        <f t="shared" ca="1" si="16"/>
        <v>Yes</v>
      </c>
      <c r="J90" t="str">
        <f t="shared" ca="1" si="17"/>
        <v>Low</v>
      </c>
      <c r="K90" t="str">
        <f t="shared" ca="1" si="18"/>
        <v>Pass</v>
      </c>
      <c r="L90" s="4" t="str" cm="1">
        <f t="array" aca="1" ref="L90" ca="1">_xlfn.IFS(D90&gt;=85,"A", D90&gt;=70,"B", D90&gt;=50,"C", D90&lt;50,"D")</f>
        <v>C</v>
      </c>
      <c r="M90" t="str">
        <f t="shared" ca="1" si="19"/>
        <v>Low</v>
      </c>
    </row>
    <row r="91" spans="1:13" x14ac:dyDescent="0.3">
      <c r="A91" t="s">
        <v>133</v>
      </c>
      <c r="B91" t="str">
        <f t="shared" ca="1" si="10"/>
        <v>10-B</v>
      </c>
      <c r="C91" t="str">
        <f t="shared" ca="1" si="11"/>
        <v>English</v>
      </c>
      <c r="D91">
        <f t="shared" ca="1" si="12"/>
        <v>63.7</v>
      </c>
      <c r="E91">
        <v>100</v>
      </c>
      <c r="F91">
        <f t="shared" ca="1" si="13"/>
        <v>67</v>
      </c>
      <c r="G91" t="str">
        <f t="shared" ca="1" si="14"/>
        <v>Completed</v>
      </c>
      <c r="H91" t="str">
        <f t="shared" ca="1" si="15"/>
        <v>No</v>
      </c>
      <c r="I91" t="str">
        <f t="shared" ca="1" si="16"/>
        <v>Yes</v>
      </c>
      <c r="J91" t="str">
        <f t="shared" ca="1" si="17"/>
        <v>Low</v>
      </c>
      <c r="K91" t="str">
        <f t="shared" ca="1" si="18"/>
        <v>Pass</v>
      </c>
      <c r="L91" s="4" t="str" cm="1">
        <f t="array" aca="1" ref="L91" ca="1">_xlfn.IFS(D91&gt;=85,"A", D91&gt;=70,"B", D91&gt;=50,"C", D91&lt;50,"D")</f>
        <v>C</v>
      </c>
      <c r="M91" t="str">
        <f t="shared" ca="1" si="19"/>
        <v>Low</v>
      </c>
    </row>
    <row r="92" spans="1:13" x14ac:dyDescent="0.3">
      <c r="A92" t="s">
        <v>134</v>
      </c>
      <c r="B92" t="str">
        <f t="shared" ca="1" si="10"/>
        <v>10-A</v>
      </c>
      <c r="C92" t="str">
        <f t="shared" ca="1" si="11"/>
        <v>Math</v>
      </c>
      <c r="D92">
        <f t="shared" ca="1" si="12"/>
        <v>73.3</v>
      </c>
      <c r="E92">
        <v>100</v>
      </c>
      <c r="F92">
        <f t="shared" ca="1" si="13"/>
        <v>63</v>
      </c>
      <c r="G92" t="str">
        <f t="shared" ca="1" si="14"/>
        <v>None</v>
      </c>
      <c r="H92" t="str">
        <f t="shared" ca="1" si="15"/>
        <v>Yes</v>
      </c>
      <c r="I92" t="str">
        <f t="shared" ca="1" si="16"/>
        <v>No</v>
      </c>
      <c r="J92" t="str">
        <f t="shared" ca="1" si="17"/>
        <v>High</v>
      </c>
      <c r="K92" t="str">
        <f t="shared" ca="1" si="18"/>
        <v>Pass</v>
      </c>
      <c r="L92" s="4" t="str" cm="1">
        <f t="array" aca="1" ref="L92" ca="1">_xlfn.IFS(D92&gt;=85,"A", D92&gt;=70,"B", D92&gt;=50,"C", D92&lt;50,"D")</f>
        <v>B</v>
      </c>
      <c r="M92" t="str">
        <f t="shared" ca="1" si="19"/>
        <v>Low</v>
      </c>
    </row>
    <row r="93" spans="1:13" x14ac:dyDescent="0.3">
      <c r="A93" t="s">
        <v>135</v>
      </c>
      <c r="B93" t="str">
        <f t="shared" ca="1" si="10"/>
        <v>10-A</v>
      </c>
      <c r="C93" t="str">
        <f t="shared" ca="1" si="11"/>
        <v>English</v>
      </c>
      <c r="D93">
        <f t="shared" ca="1" si="12"/>
        <v>65.400000000000006</v>
      </c>
      <c r="E93">
        <v>100</v>
      </c>
      <c r="F93">
        <f t="shared" ca="1" si="13"/>
        <v>44</v>
      </c>
      <c r="G93" t="str">
        <f t="shared" ca="1" si="14"/>
        <v>None</v>
      </c>
      <c r="H93" t="str">
        <f t="shared" ca="1" si="15"/>
        <v>Yes</v>
      </c>
      <c r="I93" t="str">
        <f t="shared" ca="1" si="16"/>
        <v>No</v>
      </c>
      <c r="J93" t="str">
        <f t="shared" ca="1" si="17"/>
        <v>High</v>
      </c>
      <c r="K93" t="str">
        <f t="shared" ca="1" si="18"/>
        <v>Pass</v>
      </c>
      <c r="L93" s="4" t="str" cm="1">
        <f t="array" aca="1" ref="L93" ca="1">_xlfn.IFS(D93&gt;=85,"A", D93&gt;=70,"B", D93&gt;=50,"C", D93&lt;50,"D")</f>
        <v>C</v>
      </c>
      <c r="M93" t="str">
        <f t="shared" ca="1" si="19"/>
        <v>Low</v>
      </c>
    </row>
    <row r="94" spans="1:13" x14ac:dyDescent="0.3">
      <c r="A94" t="s">
        <v>136</v>
      </c>
      <c r="B94" t="str">
        <f t="shared" ca="1" si="10"/>
        <v>10-C</v>
      </c>
      <c r="C94" t="str">
        <f t="shared" ca="1" si="11"/>
        <v>English</v>
      </c>
      <c r="D94">
        <f t="shared" ca="1" si="12"/>
        <v>60.1</v>
      </c>
      <c r="E94">
        <v>100</v>
      </c>
      <c r="F94">
        <f t="shared" ca="1" si="13"/>
        <v>81</v>
      </c>
      <c r="G94" t="str">
        <f t="shared" ca="1" si="14"/>
        <v>Completed</v>
      </c>
      <c r="H94" t="str">
        <f t="shared" ca="1" si="15"/>
        <v>Yes</v>
      </c>
      <c r="I94" t="str">
        <f t="shared" ca="1" si="16"/>
        <v>Yes</v>
      </c>
      <c r="J94" t="str">
        <f t="shared" ca="1" si="17"/>
        <v>Low</v>
      </c>
      <c r="K94" t="str">
        <f t="shared" ca="1" si="18"/>
        <v>Pass</v>
      </c>
      <c r="L94" s="4" t="str" cm="1">
        <f t="array" aca="1" ref="L94" ca="1">_xlfn.IFS(D94&gt;=85,"A", D94&gt;=70,"B", D94&gt;=50,"C", D94&lt;50,"D")</f>
        <v>C</v>
      </c>
      <c r="M94" t="str">
        <f t="shared" ca="1" si="19"/>
        <v>Medium</v>
      </c>
    </row>
    <row r="95" spans="1:13" x14ac:dyDescent="0.3">
      <c r="A95" t="s">
        <v>137</v>
      </c>
      <c r="B95" t="str">
        <f t="shared" ca="1" si="10"/>
        <v>10-A</v>
      </c>
      <c r="C95" t="str">
        <f t="shared" ca="1" si="11"/>
        <v>Science</v>
      </c>
      <c r="D95">
        <f t="shared" ca="1" si="12"/>
        <v>75</v>
      </c>
      <c r="E95">
        <v>100</v>
      </c>
      <c r="F95">
        <f t="shared" ca="1" si="13"/>
        <v>60</v>
      </c>
      <c r="G95" t="str">
        <f t="shared" ca="1" si="14"/>
        <v>None</v>
      </c>
      <c r="H95" t="str">
        <f t="shared" ca="1" si="15"/>
        <v>Yes</v>
      </c>
      <c r="I95" t="str">
        <f t="shared" ca="1" si="16"/>
        <v>Yes</v>
      </c>
      <c r="J95" t="str">
        <f t="shared" ca="1" si="17"/>
        <v>Low</v>
      </c>
      <c r="K95" t="str">
        <f t="shared" ca="1" si="18"/>
        <v>Pass</v>
      </c>
      <c r="L95" s="4" t="str" cm="1">
        <f t="array" aca="1" ref="L95" ca="1">_xlfn.IFS(D95&gt;=85,"A", D95&gt;=70,"B", D95&gt;=50,"C", D95&lt;50,"D")</f>
        <v>B</v>
      </c>
      <c r="M95" t="str">
        <f t="shared" ca="1" si="19"/>
        <v>Low</v>
      </c>
    </row>
    <row r="96" spans="1:13" x14ac:dyDescent="0.3">
      <c r="A96" t="s">
        <v>138</v>
      </c>
      <c r="B96" t="str">
        <f t="shared" ca="1" si="10"/>
        <v>10-B</v>
      </c>
      <c r="C96" t="str">
        <f t="shared" ca="1" si="11"/>
        <v>Math</v>
      </c>
      <c r="D96">
        <f t="shared" ca="1" si="12"/>
        <v>64.099999999999994</v>
      </c>
      <c r="E96">
        <v>100</v>
      </c>
      <c r="F96">
        <f t="shared" ca="1" si="13"/>
        <v>81</v>
      </c>
      <c r="G96" t="str">
        <f t="shared" ca="1" si="14"/>
        <v>None</v>
      </c>
      <c r="H96" t="str">
        <f t="shared" ca="1" si="15"/>
        <v>Yes</v>
      </c>
      <c r="I96" t="str">
        <f t="shared" ca="1" si="16"/>
        <v>Yes</v>
      </c>
      <c r="J96" t="str">
        <f t="shared" ca="1" si="17"/>
        <v>Low</v>
      </c>
      <c r="K96" t="str">
        <f t="shared" ca="1" si="18"/>
        <v>Pass</v>
      </c>
      <c r="L96" s="4" t="str" cm="1">
        <f t="array" aca="1" ref="L96" ca="1">_xlfn.IFS(D96&gt;=85,"A", D96&gt;=70,"B", D96&gt;=50,"C", D96&lt;50,"D")</f>
        <v>C</v>
      </c>
      <c r="M96" t="str">
        <f t="shared" ca="1" si="19"/>
        <v>Medium</v>
      </c>
    </row>
    <row r="97" spans="1:13" x14ac:dyDescent="0.3">
      <c r="A97" t="s">
        <v>139</v>
      </c>
      <c r="B97" t="str">
        <f t="shared" ca="1" si="10"/>
        <v>10-B</v>
      </c>
      <c r="C97" t="str">
        <f t="shared" ca="1" si="11"/>
        <v>English</v>
      </c>
      <c r="D97">
        <f t="shared" ca="1" si="12"/>
        <v>43.9</v>
      </c>
      <c r="E97">
        <v>100</v>
      </c>
      <c r="F97">
        <f t="shared" ca="1" si="13"/>
        <v>49</v>
      </c>
      <c r="G97" t="str">
        <f t="shared" ca="1" si="14"/>
        <v>None</v>
      </c>
      <c r="H97" t="str">
        <f t="shared" ca="1" si="15"/>
        <v>No</v>
      </c>
      <c r="I97" t="str">
        <f t="shared" ca="1" si="16"/>
        <v>No</v>
      </c>
      <c r="J97" t="str">
        <f t="shared" ca="1" si="17"/>
        <v>Critical</v>
      </c>
      <c r="K97" t="str">
        <f t="shared" ca="1" si="18"/>
        <v>Pass</v>
      </c>
      <c r="L97" s="4" t="str" cm="1">
        <f t="array" aca="1" ref="L97" ca="1">_xlfn.IFS(D97&gt;=85,"A", D97&gt;=70,"B", D97&gt;=50,"C", D97&lt;50,"D")</f>
        <v>D</v>
      </c>
      <c r="M97" t="str">
        <f t="shared" ca="1" si="19"/>
        <v>Low</v>
      </c>
    </row>
    <row r="98" spans="1:13" x14ac:dyDescent="0.3">
      <c r="A98" t="s">
        <v>140</v>
      </c>
      <c r="B98" t="str">
        <f t="shared" ca="1" si="10"/>
        <v>10-B</v>
      </c>
      <c r="C98" t="str">
        <f t="shared" ca="1" si="11"/>
        <v>English</v>
      </c>
      <c r="D98">
        <f t="shared" ca="1" si="12"/>
        <v>51.5</v>
      </c>
      <c r="E98">
        <v>100</v>
      </c>
      <c r="F98">
        <f t="shared" ca="1" si="13"/>
        <v>95</v>
      </c>
      <c r="G98" t="str">
        <f t="shared" ca="1" si="14"/>
        <v>Completed</v>
      </c>
      <c r="H98" t="str">
        <f t="shared" ca="1" si="15"/>
        <v>No</v>
      </c>
      <c r="I98" t="str">
        <f t="shared" ca="1" si="16"/>
        <v>Yes</v>
      </c>
      <c r="J98" t="str">
        <f t="shared" ca="1" si="17"/>
        <v>Low</v>
      </c>
      <c r="K98" t="str">
        <f t="shared" ca="1" si="18"/>
        <v>Pass</v>
      </c>
      <c r="L98" s="4" t="str" cm="1">
        <f t="array" aca="1" ref="L98" ca="1">_xlfn.IFS(D98&gt;=85,"A", D98&gt;=70,"B", D98&gt;=50,"C", D98&lt;50,"D")</f>
        <v>C</v>
      </c>
      <c r="M98" t="str">
        <f t="shared" ca="1" si="19"/>
        <v>High</v>
      </c>
    </row>
    <row r="99" spans="1:13" x14ac:dyDescent="0.3">
      <c r="A99" t="s">
        <v>141</v>
      </c>
      <c r="B99" t="str">
        <f t="shared" ca="1" si="10"/>
        <v>10-C</v>
      </c>
      <c r="C99" t="str">
        <f t="shared" ca="1" si="11"/>
        <v>Math</v>
      </c>
      <c r="D99">
        <f t="shared" ca="1" si="12"/>
        <v>55.2</v>
      </c>
      <c r="E99">
        <v>100</v>
      </c>
      <c r="F99">
        <f t="shared" ca="1" si="13"/>
        <v>92</v>
      </c>
      <c r="G99" t="str">
        <f t="shared" ca="1" si="14"/>
        <v>None</v>
      </c>
      <c r="H99" t="str">
        <f t="shared" ca="1" si="15"/>
        <v>No</v>
      </c>
      <c r="I99" t="str">
        <f t="shared" ca="1" si="16"/>
        <v>Yes</v>
      </c>
      <c r="J99" t="str">
        <f t="shared" ca="1" si="17"/>
        <v>Low</v>
      </c>
      <c r="K99" t="str">
        <f t="shared" ca="1" si="18"/>
        <v>Pass</v>
      </c>
      <c r="L99" s="4" t="str" cm="1">
        <f t="array" aca="1" ref="L99" ca="1">_xlfn.IFS(D99&gt;=85,"A", D99&gt;=70,"B", D99&gt;=50,"C", D99&lt;50,"D")</f>
        <v>C</v>
      </c>
      <c r="M99" t="str">
        <f t="shared" ca="1" si="19"/>
        <v>High</v>
      </c>
    </row>
    <row r="100" spans="1:13" x14ac:dyDescent="0.3">
      <c r="A100" t="s">
        <v>142</v>
      </c>
      <c r="B100" t="str">
        <f t="shared" ca="1" si="10"/>
        <v>10-B</v>
      </c>
      <c r="C100" t="str">
        <f t="shared" ca="1" si="11"/>
        <v>Science</v>
      </c>
      <c r="D100">
        <f t="shared" ca="1" si="12"/>
        <v>85.8</v>
      </c>
      <c r="E100">
        <v>100</v>
      </c>
      <c r="F100">
        <f t="shared" ca="1" si="13"/>
        <v>78</v>
      </c>
      <c r="G100" t="str">
        <f t="shared" ca="1" si="14"/>
        <v>None</v>
      </c>
      <c r="H100" t="str">
        <f t="shared" ca="1" si="15"/>
        <v>Yes</v>
      </c>
      <c r="I100" t="str">
        <f t="shared" ca="1" si="16"/>
        <v>No</v>
      </c>
      <c r="J100" t="str">
        <f t="shared" ca="1" si="17"/>
        <v>High</v>
      </c>
      <c r="K100" t="str">
        <f t="shared" ca="1" si="18"/>
        <v>Pass</v>
      </c>
      <c r="L100" s="4" t="str" cm="1">
        <f t="array" aca="1" ref="L100" ca="1">_xlfn.IFS(D100&gt;=85,"A", D100&gt;=70,"B", D100&gt;=50,"C", D100&lt;50,"D")</f>
        <v>A</v>
      </c>
      <c r="M100" t="str">
        <f t="shared" ca="1" si="19"/>
        <v>Medium</v>
      </c>
    </row>
    <row r="101" spans="1:13" x14ac:dyDescent="0.3">
      <c r="A101" t="s">
        <v>143</v>
      </c>
      <c r="B101" t="str">
        <f t="shared" ca="1" si="10"/>
        <v>10-A</v>
      </c>
      <c r="C101" t="str">
        <f t="shared" ca="1" si="11"/>
        <v>Science</v>
      </c>
      <c r="D101">
        <f t="shared" ca="1" si="12"/>
        <v>67.2</v>
      </c>
      <c r="E101">
        <v>100</v>
      </c>
      <c r="F101">
        <f t="shared" ca="1" si="13"/>
        <v>72</v>
      </c>
      <c r="G101" t="str">
        <f t="shared" ca="1" si="14"/>
        <v>None</v>
      </c>
      <c r="H101" t="str">
        <f t="shared" ca="1" si="15"/>
        <v>No</v>
      </c>
      <c r="I101" t="str">
        <f t="shared" ca="1" si="16"/>
        <v>No</v>
      </c>
      <c r="J101" t="str">
        <f t="shared" ca="1" si="17"/>
        <v>High</v>
      </c>
      <c r="K101" t="str">
        <f t="shared" ca="1" si="18"/>
        <v>Pass</v>
      </c>
      <c r="L101" s="4" t="str" cm="1">
        <f t="array" aca="1" ref="L101" ca="1">_xlfn.IFS(D101&gt;=85,"A", D101&gt;=70,"B", D101&gt;=50,"C", D101&lt;50,"D")</f>
        <v>C</v>
      </c>
      <c r="M101" t="str">
        <f t="shared" ca="1" si="19"/>
        <v>Low</v>
      </c>
    </row>
    <row r="102" spans="1:13" x14ac:dyDescent="0.3">
      <c r="A102" t="s">
        <v>144</v>
      </c>
      <c r="B102" t="str">
        <f t="shared" ca="1" si="10"/>
        <v>10-A</v>
      </c>
      <c r="C102" t="str">
        <f t="shared" ca="1" si="11"/>
        <v>Math</v>
      </c>
      <c r="D102">
        <f t="shared" ca="1" si="12"/>
        <v>87.4</v>
      </c>
      <c r="E102">
        <v>100</v>
      </c>
      <c r="F102">
        <f t="shared" ca="1" si="13"/>
        <v>94</v>
      </c>
      <c r="G102" t="str">
        <f t="shared" ca="1" si="14"/>
        <v>None</v>
      </c>
      <c r="H102" t="str">
        <f t="shared" ca="1" si="15"/>
        <v>Yes</v>
      </c>
      <c r="I102" t="str">
        <f t="shared" ca="1" si="16"/>
        <v>No</v>
      </c>
      <c r="J102" t="str">
        <f t="shared" ca="1" si="17"/>
        <v>High</v>
      </c>
      <c r="K102" t="str">
        <f t="shared" ca="1" si="18"/>
        <v>Pass</v>
      </c>
      <c r="L102" s="4" t="str" cm="1">
        <f t="array" aca="1" ref="L102" ca="1">_xlfn.IFS(D102&gt;=85,"A", D102&gt;=70,"B", D102&gt;=50,"C", D102&lt;50,"D")</f>
        <v>A</v>
      </c>
      <c r="M102" t="str">
        <f t="shared" ca="1" si="19"/>
        <v>High</v>
      </c>
    </row>
    <row r="103" spans="1:13" x14ac:dyDescent="0.3">
      <c r="A103" t="s">
        <v>145</v>
      </c>
      <c r="B103" t="str">
        <f t="shared" ca="1" si="10"/>
        <v>10-A</v>
      </c>
      <c r="C103" t="str">
        <f t="shared" ca="1" si="11"/>
        <v>Science</v>
      </c>
      <c r="D103">
        <f t="shared" ca="1" si="12"/>
        <v>80.900000000000006</v>
      </c>
      <c r="E103">
        <v>100</v>
      </c>
      <c r="F103">
        <f t="shared" ca="1" si="13"/>
        <v>89</v>
      </c>
      <c r="G103" t="str">
        <f t="shared" ca="1" si="14"/>
        <v>None</v>
      </c>
      <c r="H103" t="str">
        <f t="shared" ca="1" si="15"/>
        <v>Yes</v>
      </c>
      <c r="I103" t="str">
        <f t="shared" ca="1" si="16"/>
        <v>Yes</v>
      </c>
      <c r="J103" t="str">
        <f t="shared" ca="1" si="17"/>
        <v>Low</v>
      </c>
      <c r="K103" t="str">
        <f t="shared" ca="1" si="18"/>
        <v>Pass</v>
      </c>
      <c r="L103" s="4" t="str" cm="1">
        <f t="array" aca="1" ref="L103" ca="1">_xlfn.IFS(D103&gt;=85,"A", D103&gt;=70,"B", D103&gt;=50,"C", D103&lt;50,"D")</f>
        <v>B</v>
      </c>
      <c r="M103" t="str">
        <f t="shared" ca="1" si="19"/>
        <v>High</v>
      </c>
    </row>
    <row r="104" spans="1:13" x14ac:dyDescent="0.3">
      <c r="A104" t="s">
        <v>146</v>
      </c>
      <c r="B104" t="str">
        <f t="shared" ca="1" si="10"/>
        <v>10-B</v>
      </c>
      <c r="C104" t="str">
        <f t="shared" ca="1" si="11"/>
        <v>English</v>
      </c>
      <c r="D104">
        <f t="shared" ca="1" si="12"/>
        <v>50.6</v>
      </c>
      <c r="E104">
        <v>100</v>
      </c>
      <c r="F104">
        <f t="shared" ca="1" si="13"/>
        <v>46</v>
      </c>
      <c r="G104" t="str">
        <f t="shared" ca="1" si="14"/>
        <v>None</v>
      </c>
      <c r="H104" t="str">
        <f t="shared" ca="1" si="15"/>
        <v>Yes</v>
      </c>
      <c r="I104" t="str">
        <f t="shared" ca="1" si="16"/>
        <v>Yes</v>
      </c>
      <c r="J104" t="str">
        <f t="shared" ca="1" si="17"/>
        <v>Low</v>
      </c>
      <c r="K104" t="str">
        <f t="shared" ca="1" si="18"/>
        <v>Pass</v>
      </c>
      <c r="L104" s="4" t="str" cm="1">
        <f t="array" aca="1" ref="L104" ca="1">_xlfn.IFS(D104&gt;=85,"A", D104&gt;=70,"B", D104&gt;=50,"C", D104&lt;50,"D")</f>
        <v>C</v>
      </c>
      <c r="M104" t="str">
        <f t="shared" ca="1" si="19"/>
        <v>Low</v>
      </c>
    </row>
    <row r="105" spans="1:13" x14ac:dyDescent="0.3">
      <c r="A105" t="s">
        <v>147</v>
      </c>
      <c r="B105" t="str">
        <f t="shared" ca="1" si="10"/>
        <v>10-C</v>
      </c>
      <c r="C105" t="str">
        <f t="shared" ca="1" si="11"/>
        <v>Science</v>
      </c>
      <c r="D105">
        <f t="shared" ca="1" si="12"/>
        <v>43</v>
      </c>
      <c r="E105">
        <v>100</v>
      </c>
      <c r="F105">
        <f t="shared" ca="1" si="13"/>
        <v>40</v>
      </c>
      <c r="G105" t="str">
        <f t="shared" ca="1" si="14"/>
        <v>Completed</v>
      </c>
      <c r="H105" t="str">
        <f t="shared" ca="1" si="15"/>
        <v>Yes</v>
      </c>
      <c r="I105" t="str">
        <f t="shared" ca="1" si="16"/>
        <v>Yes</v>
      </c>
      <c r="J105" t="str">
        <f t="shared" ca="1" si="17"/>
        <v>Medium</v>
      </c>
      <c r="K105" t="str">
        <f t="shared" ca="1" si="18"/>
        <v>Pass</v>
      </c>
      <c r="L105" s="4" t="str" cm="1">
        <f t="array" aca="1" ref="L105" ca="1">_xlfn.IFS(D105&gt;=85,"A", D105&gt;=70,"B", D105&gt;=50,"C", D105&lt;50,"D")</f>
        <v>D</v>
      </c>
      <c r="M105" t="str">
        <f t="shared" ca="1" si="19"/>
        <v>Low</v>
      </c>
    </row>
    <row r="106" spans="1:13" x14ac:dyDescent="0.3">
      <c r="A106" t="s">
        <v>148</v>
      </c>
      <c r="B106" t="str">
        <f t="shared" ca="1" si="10"/>
        <v>10-A</v>
      </c>
      <c r="C106" t="str">
        <f t="shared" ca="1" si="11"/>
        <v>Math</v>
      </c>
      <c r="D106">
        <f t="shared" ca="1" si="12"/>
        <v>54.3</v>
      </c>
      <c r="E106">
        <v>100</v>
      </c>
      <c r="F106">
        <f t="shared" ca="1" si="13"/>
        <v>43</v>
      </c>
      <c r="G106" t="str">
        <f t="shared" ca="1" si="14"/>
        <v>None</v>
      </c>
      <c r="H106" t="str">
        <f t="shared" ca="1" si="15"/>
        <v>Yes</v>
      </c>
      <c r="I106" t="str">
        <f t="shared" ca="1" si="16"/>
        <v>Yes</v>
      </c>
      <c r="J106" t="str">
        <f t="shared" ca="1" si="17"/>
        <v>Low</v>
      </c>
      <c r="K106" t="str">
        <f t="shared" ca="1" si="18"/>
        <v>Pass</v>
      </c>
      <c r="L106" s="4" t="str" cm="1">
        <f t="array" aca="1" ref="L106" ca="1">_xlfn.IFS(D106&gt;=85,"A", D106&gt;=70,"B", D106&gt;=50,"C", D106&lt;50,"D")</f>
        <v>C</v>
      </c>
      <c r="M106" t="str">
        <f t="shared" ca="1" si="19"/>
        <v>Low</v>
      </c>
    </row>
    <row r="107" spans="1:13" x14ac:dyDescent="0.3">
      <c r="A107" t="s">
        <v>149</v>
      </c>
      <c r="B107" t="str">
        <f t="shared" ca="1" si="10"/>
        <v>10-B</v>
      </c>
      <c r="C107" t="str">
        <f t="shared" ca="1" si="11"/>
        <v>English</v>
      </c>
      <c r="D107">
        <f t="shared" ca="1" si="12"/>
        <v>79.3</v>
      </c>
      <c r="E107">
        <v>100</v>
      </c>
      <c r="F107">
        <f t="shared" ca="1" si="13"/>
        <v>63</v>
      </c>
      <c r="G107" t="str">
        <f t="shared" ca="1" si="14"/>
        <v>None</v>
      </c>
      <c r="H107" t="str">
        <f t="shared" ca="1" si="15"/>
        <v>Yes</v>
      </c>
      <c r="I107" t="str">
        <f t="shared" ca="1" si="16"/>
        <v>Yes</v>
      </c>
      <c r="J107" t="str">
        <f t="shared" ca="1" si="17"/>
        <v>Low</v>
      </c>
      <c r="K107" t="str">
        <f t="shared" ca="1" si="18"/>
        <v>Pass</v>
      </c>
      <c r="L107" s="4" t="str" cm="1">
        <f t="array" aca="1" ref="L107" ca="1">_xlfn.IFS(D107&gt;=85,"A", D107&gt;=70,"B", D107&gt;=50,"C", D107&lt;50,"D")</f>
        <v>B</v>
      </c>
      <c r="M107" t="str">
        <f t="shared" ca="1" si="19"/>
        <v>Low</v>
      </c>
    </row>
    <row r="108" spans="1:13" x14ac:dyDescent="0.3">
      <c r="A108" t="s">
        <v>150</v>
      </c>
      <c r="B108" t="str">
        <f t="shared" ca="1" si="10"/>
        <v>10-A</v>
      </c>
      <c r="C108" t="str">
        <f t="shared" ca="1" si="11"/>
        <v>English</v>
      </c>
      <c r="D108">
        <f t="shared" ca="1" si="12"/>
        <v>39.700000000000003</v>
      </c>
      <c r="E108">
        <v>100</v>
      </c>
      <c r="F108">
        <f t="shared" ca="1" si="13"/>
        <v>87</v>
      </c>
      <c r="G108" t="str">
        <f t="shared" ca="1" si="14"/>
        <v>None</v>
      </c>
      <c r="H108" t="str">
        <f t="shared" ca="1" si="15"/>
        <v>No</v>
      </c>
      <c r="I108" t="str">
        <f t="shared" ca="1" si="16"/>
        <v>Yes</v>
      </c>
      <c r="J108" t="str">
        <f t="shared" ca="1" si="17"/>
        <v>Medium</v>
      </c>
      <c r="K108" t="str">
        <f t="shared" ca="1" si="18"/>
        <v>Fail</v>
      </c>
      <c r="L108" s="4" t="str" cm="1">
        <f t="array" aca="1" ref="L108" ca="1">_xlfn.IFS(D108&gt;=85,"A", D108&gt;=70,"B", D108&gt;=50,"C", D108&lt;50,"D")</f>
        <v>D</v>
      </c>
      <c r="M108" t="str">
        <f t="shared" ca="1" si="19"/>
        <v>High</v>
      </c>
    </row>
    <row r="109" spans="1:13" x14ac:dyDescent="0.3">
      <c r="A109" t="s">
        <v>151</v>
      </c>
      <c r="B109" t="str">
        <f t="shared" ca="1" si="10"/>
        <v>10-B</v>
      </c>
      <c r="C109" t="str">
        <f t="shared" ca="1" si="11"/>
        <v>Math</v>
      </c>
      <c r="D109">
        <f t="shared" ca="1" si="12"/>
        <v>67.400000000000006</v>
      </c>
      <c r="E109">
        <v>100</v>
      </c>
      <c r="F109">
        <f t="shared" ca="1" si="13"/>
        <v>84</v>
      </c>
      <c r="G109" t="str">
        <f t="shared" ca="1" si="14"/>
        <v>None</v>
      </c>
      <c r="H109" t="str">
        <f t="shared" ca="1" si="15"/>
        <v>Yes</v>
      </c>
      <c r="I109" t="str">
        <f t="shared" ca="1" si="16"/>
        <v>Yes</v>
      </c>
      <c r="J109" t="str">
        <f t="shared" ca="1" si="17"/>
        <v>Low</v>
      </c>
      <c r="K109" t="str">
        <f t="shared" ca="1" si="18"/>
        <v>Pass</v>
      </c>
      <c r="L109" s="4" t="str" cm="1">
        <f t="array" aca="1" ref="L109" ca="1">_xlfn.IFS(D109&gt;=85,"A", D109&gt;=70,"B", D109&gt;=50,"C", D109&lt;50,"D")</f>
        <v>C</v>
      </c>
      <c r="M109" t="str">
        <f t="shared" ca="1" si="19"/>
        <v>Medium</v>
      </c>
    </row>
    <row r="110" spans="1:13" x14ac:dyDescent="0.3">
      <c r="A110" t="s">
        <v>152</v>
      </c>
      <c r="B110" t="str">
        <f t="shared" ca="1" si="10"/>
        <v>10-A</v>
      </c>
      <c r="C110" t="str">
        <f t="shared" ca="1" si="11"/>
        <v>Math</v>
      </c>
      <c r="D110">
        <f t="shared" ca="1" si="12"/>
        <v>73.3</v>
      </c>
      <c r="E110">
        <v>100</v>
      </c>
      <c r="F110">
        <f t="shared" ca="1" si="13"/>
        <v>93</v>
      </c>
      <c r="G110" t="str">
        <f t="shared" ca="1" si="14"/>
        <v>Completed</v>
      </c>
      <c r="H110" t="str">
        <f t="shared" ca="1" si="15"/>
        <v>No</v>
      </c>
      <c r="I110" t="str">
        <f t="shared" ca="1" si="16"/>
        <v>No</v>
      </c>
      <c r="J110" t="str">
        <f t="shared" ca="1" si="17"/>
        <v>High</v>
      </c>
      <c r="K110" t="str">
        <f t="shared" ca="1" si="18"/>
        <v>Pass</v>
      </c>
      <c r="L110" s="4" t="str" cm="1">
        <f t="array" aca="1" ref="L110" ca="1">_xlfn.IFS(D110&gt;=85,"A", D110&gt;=70,"B", D110&gt;=50,"C", D110&lt;50,"D")</f>
        <v>B</v>
      </c>
      <c r="M110" t="str">
        <f t="shared" ca="1" si="19"/>
        <v>High</v>
      </c>
    </row>
    <row r="111" spans="1:13" x14ac:dyDescent="0.3">
      <c r="A111" t="s">
        <v>153</v>
      </c>
      <c r="B111" t="str">
        <f t="shared" ca="1" si="10"/>
        <v>10-A</v>
      </c>
      <c r="C111" t="str">
        <f t="shared" ca="1" si="11"/>
        <v>English</v>
      </c>
      <c r="D111">
        <f t="shared" ca="1" si="12"/>
        <v>77.5</v>
      </c>
      <c r="E111">
        <v>100</v>
      </c>
      <c r="F111">
        <f t="shared" ca="1" si="13"/>
        <v>45</v>
      </c>
      <c r="G111" t="str">
        <f t="shared" ca="1" si="14"/>
        <v>Completed</v>
      </c>
      <c r="H111" t="str">
        <f t="shared" ca="1" si="15"/>
        <v>Yes</v>
      </c>
      <c r="I111" t="str">
        <f t="shared" ca="1" si="16"/>
        <v>Yes</v>
      </c>
      <c r="J111" t="str">
        <f t="shared" ca="1" si="17"/>
        <v>Low</v>
      </c>
      <c r="K111" t="str">
        <f t="shared" ca="1" si="18"/>
        <v>Pass</v>
      </c>
      <c r="L111" s="4" t="str" cm="1">
        <f t="array" aca="1" ref="L111" ca="1">_xlfn.IFS(D111&gt;=85,"A", D111&gt;=70,"B", D111&gt;=50,"C", D111&lt;50,"D")</f>
        <v>B</v>
      </c>
      <c r="M111" t="str">
        <f t="shared" ca="1" si="19"/>
        <v>Low</v>
      </c>
    </row>
    <row r="112" spans="1:13" x14ac:dyDescent="0.3">
      <c r="A112" t="s">
        <v>154</v>
      </c>
      <c r="B112" t="str">
        <f t="shared" ca="1" si="10"/>
        <v>10-B</v>
      </c>
      <c r="C112" t="str">
        <f t="shared" ca="1" si="11"/>
        <v>Math</v>
      </c>
      <c r="D112">
        <f t="shared" ca="1" si="12"/>
        <v>61.8</v>
      </c>
      <c r="E112">
        <v>100</v>
      </c>
      <c r="F112">
        <f t="shared" ca="1" si="13"/>
        <v>98</v>
      </c>
      <c r="G112" t="str">
        <f t="shared" ca="1" si="14"/>
        <v>Completed</v>
      </c>
      <c r="H112" t="str">
        <f t="shared" ca="1" si="15"/>
        <v>Yes</v>
      </c>
      <c r="I112" t="str">
        <f t="shared" ca="1" si="16"/>
        <v>Yes</v>
      </c>
      <c r="J112" t="str">
        <f t="shared" ca="1" si="17"/>
        <v>Low</v>
      </c>
      <c r="K112" t="str">
        <f t="shared" ca="1" si="18"/>
        <v>Pass</v>
      </c>
      <c r="L112" s="4" t="str" cm="1">
        <f t="array" aca="1" ref="L112" ca="1">_xlfn.IFS(D112&gt;=85,"A", D112&gt;=70,"B", D112&gt;=50,"C", D112&lt;50,"D")</f>
        <v>C</v>
      </c>
      <c r="M112" t="str">
        <f t="shared" ca="1" si="19"/>
        <v>High</v>
      </c>
    </row>
    <row r="113" spans="1:13" x14ac:dyDescent="0.3">
      <c r="A113" t="s">
        <v>155</v>
      </c>
      <c r="B113" t="str">
        <f t="shared" ca="1" si="10"/>
        <v>10-C</v>
      </c>
      <c r="C113" t="str">
        <f t="shared" ca="1" si="11"/>
        <v>Math</v>
      </c>
      <c r="D113">
        <f t="shared" ca="1" si="12"/>
        <v>35.5</v>
      </c>
      <c r="E113">
        <v>100</v>
      </c>
      <c r="F113">
        <f t="shared" ca="1" si="13"/>
        <v>55</v>
      </c>
      <c r="G113" t="str">
        <f t="shared" ca="1" si="14"/>
        <v>None</v>
      </c>
      <c r="H113" t="str">
        <f t="shared" ca="1" si="15"/>
        <v>Yes</v>
      </c>
      <c r="I113" t="str">
        <f t="shared" ca="1" si="16"/>
        <v>Yes</v>
      </c>
      <c r="J113" t="str">
        <f t="shared" ca="1" si="17"/>
        <v>Medium</v>
      </c>
      <c r="K113" t="str">
        <f t="shared" ca="1" si="18"/>
        <v>Fail</v>
      </c>
      <c r="L113" s="4" t="str" cm="1">
        <f t="array" aca="1" ref="L113" ca="1">_xlfn.IFS(D113&gt;=85,"A", D113&gt;=70,"B", D113&gt;=50,"C", D113&lt;50,"D")</f>
        <v>D</v>
      </c>
      <c r="M113" t="str">
        <f t="shared" ca="1" si="19"/>
        <v>Low</v>
      </c>
    </row>
    <row r="114" spans="1:13" x14ac:dyDescent="0.3">
      <c r="A114" t="s">
        <v>156</v>
      </c>
      <c r="B114" t="str">
        <f t="shared" ca="1" si="10"/>
        <v>10-A</v>
      </c>
      <c r="C114" t="str">
        <f t="shared" ca="1" si="11"/>
        <v>English</v>
      </c>
      <c r="D114">
        <f t="shared" ca="1" si="12"/>
        <v>37.1</v>
      </c>
      <c r="E114">
        <v>100</v>
      </c>
      <c r="F114">
        <f t="shared" ca="1" si="13"/>
        <v>71</v>
      </c>
      <c r="G114" t="str">
        <f t="shared" ca="1" si="14"/>
        <v>Completed</v>
      </c>
      <c r="H114" t="str">
        <f t="shared" ca="1" si="15"/>
        <v>Yes</v>
      </c>
      <c r="I114" t="str">
        <f t="shared" ca="1" si="16"/>
        <v>Yes</v>
      </c>
      <c r="J114" t="str">
        <f t="shared" ca="1" si="17"/>
        <v>Medium</v>
      </c>
      <c r="K114" t="str">
        <f t="shared" ca="1" si="18"/>
        <v>Fail</v>
      </c>
      <c r="L114" s="4" t="str" cm="1">
        <f t="array" aca="1" ref="L114" ca="1">_xlfn.IFS(D114&gt;=85,"A", D114&gt;=70,"B", D114&gt;=50,"C", D114&lt;50,"D")</f>
        <v>D</v>
      </c>
      <c r="M114" t="str">
        <f t="shared" ca="1" si="19"/>
        <v>Low</v>
      </c>
    </row>
    <row r="115" spans="1:13" x14ac:dyDescent="0.3">
      <c r="A115" t="s">
        <v>157</v>
      </c>
      <c r="B115" t="str">
        <f t="shared" ca="1" si="10"/>
        <v>10-C</v>
      </c>
      <c r="C115" t="str">
        <f t="shared" ca="1" si="11"/>
        <v>Math</v>
      </c>
      <c r="D115">
        <f t="shared" ca="1" si="12"/>
        <v>41.2</v>
      </c>
      <c r="E115">
        <v>100</v>
      </c>
      <c r="F115">
        <f t="shared" ca="1" si="13"/>
        <v>82</v>
      </c>
      <c r="G115" t="str">
        <f t="shared" ca="1" si="14"/>
        <v>None</v>
      </c>
      <c r="H115" t="str">
        <f t="shared" ca="1" si="15"/>
        <v>Yes</v>
      </c>
      <c r="I115" t="str">
        <f t="shared" ca="1" si="16"/>
        <v>Yes</v>
      </c>
      <c r="J115" t="str">
        <f t="shared" ca="1" si="17"/>
        <v>Medium</v>
      </c>
      <c r="K115" t="str">
        <f t="shared" ca="1" si="18"/>
        <v>Pass</v>
      </c>
      <c r="L115" s="4" t="str" cm="1">
        <f t="array" aca="1" ref="L115" ca="1">_xlfn.IFS(D115&gt;=85,"A", D115&gt;=70,"B", D115&gt;=50,"C", D115&lt;50,"D")</f>
        <v>D</v>
      </c>
      <c r="M115" t="str">
        <f t="shared" ca="1" si="19"/>
        <v>Medium</v>
      </c>
    </row>
    <row r="116" spans="1:13" x14ac:dyDescent="0.3">
      <c r="A116" t="s">
        <v>158</v>
      </c>
      <c r="B116" t="str">
        <f t="shared" ca="1" si="10"/>
        <v>10-A</v>
      </c>
      <c r="C116" t="str">
        <f t="shared" ca="1" si="11"/>
        <v>Math</v>
      </c>
      <c r="D116">
        <f t="shared" ca="1" si="12"/>
        <v>40.1</v>
      </c>
      <c r="E116">
        <v>100</v>
      </c>
      <c r="F116">
        <f t="shared" ca="1" si="13"/>
        <v>71</v>
      </c>
      <c r="G116" t="str">
        <f t="shared" ca="1" si="14"/>
        <v>Completed</v>
      </c>
      <c r="H116" t="str">
        <f t="shared" ca="1" si="15"/>
        <v>Yes</v>
      </c>
      <c r="I116" t="str">
        <f t="shared" ca="1" si="16"/>
        <v>Yes</v>
      </c>
      <c r="J116" t="str">
        <f t="shared" ca="1" si="17"/>
        <v>Medium</v>
      </c>
      <c r="K116" t="str">
        <f t="shared" ca="1" si="18"/>
        <v>Pass</v>
      </c>
      <c r="L116" s="4" t="str" cm="1">
        <f t="array" aca="1" ref="L116" ca="1">_xlfn.IFS(D116&gt;=85,"A", D116&gt;=70,"B", D116&gt;=50,"C", D116&lt;50,"D")</f>
        <v>D</v>
      </c>
      <c r="M116" t="str">
        <f t="shared" ca="1" si="19"/>
        <v>Low</v>
      </c>
    </row>
    <row r="117" spans="1:13" x14ac:dyDescent="0.3">
      <c r="A117" t="s">
        <v>159</v>
      </c>
      <c r="B117" t="str">
        <f t="shared" ca="1" si="10"/>
        <v>10-B</v>
      </c>
      <c r="C117" t="str">
        <f t="shared" ca="1" si="11"/>
        <v>English</v>
      </c>
      <c r="D117">
        <f t="shared" ca="1" si="12"/>
        <v>84.1</v>
      </c>
      <c r="E117">
        <v>100</v>
      </c>
      <c r="F117">
        <f t="shared" ca="1" si="13"/>
        <v>41</v>
      </c>
      <c r="G117" t="str">
        <f t="shared" ca="1" si="14"/>
        <v>Completed</v>
      </c>
      <c r="H117" t="str">
        <f t="shared" ca="1" si="15"/>
        <v>Yes</v>
      </c>
      <c r="I117" t="str">
        <f t="shared" ca="1" si="16"/>
        <v>Yes</v>
      </c>
      <c r="J117" t="str">
        <f t="shared" ca="1" si="17"/>
        <v>Low</v>
      </c>
      <c r="K117" t="str">
        <f t="shared" ca="1" si="18"/>
        <v>Pass</v>
      </c>
      <c r="L117" s="4" t="str" cm="1">
        <f t="array" aca="1" ref="L117" ca="1">_xlfn.IFS(D117&gt;=85,"A", D117&gt;=70,"B", D117&gt;=50,"C", D117&lt;50,"D")</f>
        <v>B</v>
      </c>
      <c r="M117" t="str">
        <f t="shared" ca="1" si="19"/>
        <v>Low</v>
      </c>
    </row>
    <row r="118" spans="1:13" x14ac:dyDescent="0.3">
      <c r="A118" t="s">
        <v>160</v>
      </c>
      <c r="B118" t="str">
        <f t="shared" ca="1" si="10"/>
        <v>10-B</v>
      </c>
      <c r="C118" t="str">
        <f t="shared" ca="1" si="11"/>
        <v>Math</v>
      </c>
      <c r="D118">
        <f t="shared" ca="1" si="12"/>
        <v>63.1</v>
      </c>
      <c r="E118">
        <v>100</v>
      </c>
      <c r="F118">
        <f t="shared" ca="1" si="13"/>
        <v>61</v>
      </c>
      <c r="G118" t="str">
        <f t="shared" ca="1" si="14"/>
        <v>Completed</v>
      </c>
      <c r="H118" t="str">
        <f t="shared" ca="1" si="15"/>
        <v>Yes</v>
      </c>
      <c r="I118" t="str">
        <f t="shared" ca="1" si="16"/>
        <v>Yes</v>
      </c>
      <c r="J118" t="str">
        <f t="shared" ca="1" si="17"/>
        <v>Low</v>
      </c>
      <c r="K118" t="str">
        <f t="shared" ca="1" si="18"/>
        <v>Pass</v>
      </c>
      <c r="L118" s="4" t="str" cm="1">
        <f t="array" aca="1" ref="L118" ca="1">_xlfn.IFS(D118&gt;=85,"A", D118&gt;=70,"B", D118&gt;=50,"C", D118&lt;50,"D")</f>
        <v>C</v>
      </c>
      <c r="M118" t="str">
        <f t="shared" ca="1" si="19"/>
        <v>Low</v>
      </c>
    </row>
    <row r="119" spans="1:13" x14ac:dyDescent="0.3">
      <c r="A119" t="s">
        <v>161</v>
      </c>
      <c r="B119" t="str">
        <f t="shared" ca="1" si="10"/>
        <v>10-A</v>
      </c>
      <c r="C119" t="str">
        <f t="shared" ca="1" si="11"/>
        <v>Math</v>
      </c>
      <c r="D119">
        <f t="shared" ca="1" si="12"/>
        <v>60.2</v>
      </c>
      <c r="E119">
        <v>100</v>
      </c>
      <c r="F119">
        <f t="shared" ca="1" si="13"/>
        <v>92</v>
      </c>
      <c r="G119" t="str">
        <f t="shared" ca="1" si="14"/>
        <v>None</v>
      </c>
      <c r="H119" t="str">
        <f t="shared" ca="1" si="15"/>
        <v>Yes</v>
      </c>
      <c r="I119" t="str">
        <f t="shared" ca="1" si="16"/>
        <v>Yes</v>
      </c>
      <c r="J119" t="str">
        <f t="shared" ca="1" si="17"/>
        <v>Low</v>
      </c>
      <c r="K119" t="str">
        <f t="shared" ca="1" si="18"/>
        <v>Pass</v>
      </c>
      <c r="L119" s="4" t="str" cm="1">
        <f t="array" aca="1" ref="L119" ca="1">_xlfn.IFS(D119&gt;=85,"A", D119&gt;=70,"B", D119&gt;=50,"C", D119&lt;50,"D")</f>
        <v>C</v>
      </c>
      <c r="M119" t="str">
        <f t="shared" ca="1" si="19"/>
        <v>High</v>
      </c>
    </row>
    <row r="120" spans="1:13" x14ac:dyDescent="0.3">
      <c r="A120" t="s">
        <v>162</v>
      </c>
      <c r="B120" t="str">
        <f t="shared" ca="1" si="10"/>
        <v>10-B</v>
      </c>
      <c r="C120" t="str">
        <f t="shared" ca="1" si="11"/>
        <v>Math</v>
      </c>
      <c r="D120">
        <f t="shared" ca="1" si="12"/>
        <v>58</v>
      </c>
      <c r="E120">
        <v>100</v>
      </c>
      <c r="F120">
        <f t="shared" ca="1" si="13"/>
        <v>80</v>
      </c>
      <c r="G120" t="str">
        <f t="shared" ca="1" si="14"/>
        <v>Completed</v>
      </c>
      <c r="H120" t="str">
        <f t="shared" ca="1" si="15"/>
        <v>Yes</v>
      </c>
      <c r="I120" t="str">
        <f t="shared" ca="1" si="16"/>
        <v>Yes</v>
      </c>
      <c r="J120" t="str">
        <f t="shared" ca="1" si="17"/>
        <v>Low</v>
      </c>
      <c r="K120" t="str">
        <f t="shared" ca="1" si="18"/>
        <v>Pass</v>
      </c>
      <c r="L120" s="4" t="str" cm="1">
        <f t="array" aca="1" ref="L120" ca="1">_xlfn.IFS(D120&gt;=85,"A", D120&gt;=70,"B", D120&gt;=50,"C", D120&lt;50,"D")</f>
        <v>C</v>
      </c>
      <c r="M120" t="str">
        <f t="shared" ca="1" si="19"/>
        <v>Medium</v>
      </c>
    </row>
    <row r="121" spans="1:13" x14ac:dyDescent="0.3">
      <c r="A121" t="s">
        <v>163</v>
      </c>
      <c r="B121" t="str">
        <f t="shared" ca="1" si="10"/>
        <v>10-C</v>
      </c>
      <c r="C121" t="str">
        <f t="shared" ca="1" si="11"/>
        <v>Science</v>
      </c>
      <c r="D121">
        <f t="shared" ca="1" si="12"/>
        <v>44.3</v>
      </c>
      <c r="E121">
        <v>100</v>
      </c>
      <c r="F121">
        <f t="shared" ca="1" si="13"/>
        <v>63</v>
      </c>
      <c r="G121" t="str">
        <f t="shared" ca="1" si="14"/>
        <v>Completed</v>
      </c>
      <c r="H121" t="str">
        <f t="shared" ca="1" si="15"/>
        <v>No</v>
      </c>
      <c r="I121" t="str">
        <f t="shared" ca="1" si="16"/>
        <v>No</v>
      </c>
      <c r="J121" t="str">
        <f t="shared" ca="1" si="17"/>
        <v>Critical</v>
      </c>
      <c r="K121" t="str">
        <f t="shared" ca="1" si="18"/>
        <v>Pass</v>
      </c>
      <c r="L121" s="4" t="str" cm="1">
        <f t="array" aca="1" ref="L121" ca="1">_xlfn.IFS(D121&gt;=85,"A", D121&gt;=70,"B", D121&gt;=50,"C", D121&lt;50,"D")</f>
        <v>D</v>
      </c>
      <c r="M121" t="str">
        <f t="shared" ca="1" si="19"/>
        <v>Low</v>
      </c>
    </row>
    <row r="122" spans="1:13" x14ac:dyDescent="0.3">
      <c r="A122" t="s">
        <v>164</v>
      </c>
      <c r="B122" t="str">
        <f t="shared" ca="1" si="10"/>
        <v>10-B</v>
      </c>
      <c r="C122" t="str">
        <f t="shared" ca="1" si="11"/>
        <v>Math</v>
      </c>
      <c r="D122">
        <f t="shared" ca="1" si="12"/>
        <v>74.099999999999994</v>
      </c>
      <c r="E122">
        <v>100</v>
      </c>
      <c r="F122">
        <f t="shared" ca="1" si="13"/>
        <v>81</v>
      </c>
      <c r="G122" t="str">
        <f t="shared" ca="1" si="14"/>
        <v>Completed</v>
      </c>
      <c r="H122" t="str">
        <f t="shared" ca="1" si="15"/>
        <v>No</v>
      </c>
      <c r="I122" t="str">
        <f t="shared" ca="1" si="16"/>
        <v>Yes</v>
      </c>
      <c r="J122" t="str">
        <f t="shared" ca="1" si="17"/>
        <v>Low</v>
      </c>
      <c r="K122" t="str">
        <f t="shared" ca="1" si="18"/>
        <v>Pass</v>
      </c>
      <c r="L122" s="4" t="str" cm="1">
        <f t="array" aca="1" ref="L122" ca="1">_xlfn.IFS(D122&gt;=85,"A", D122&gt;=70,"B", D122&gt;=50,"C", D122&lt;50,"D")</f>
        <v>B</v>
      </c>
      <c r="M122" t="str">
        <f t="shared" ca="1" si="19"/>
        <v>Medium</v>
      </c>
    </row>
    <row r="123" spans="1:13" x14ac:dyDescent="0.3">
      <c r="A123" t="s">
        <v>165</v>
      </c>
      <c r="B123" t="str">
        <f t="shared" ca="1" si="10"/>
        <v>10-B</v>
      </c>
      <c r="C123" t="str">
        <f t="shared" ca="1" si="11"/>
        <v>Science</v>
      </c>
      <c r="D123">
        <f t="shared" ca="1" si="12"/>
        <v>69.7</v>
      </c>
      <c r="E123">
        <v>100</v>
      </c>
      <c r="F123">
        <f t="shared" ca="1" si="13"/>
        <v>57</v>
      </c>
      <c r="G123" t="str">
        <f t="shared" ca="1" si="14"/>
        <v>None</v>
      </c>
      <c r="H123" t="str">
        <f t="shared" ca="1" si="15"/>
        <v>Yes</v>
      </c>
      <c r="I123" t="str">
        <f t="shared" ca="1" si="16"/>
        <v>Yes</v>
      </c>
      <c r="J123" t="str">
        <f t="shared" ca="1" si="17"/>
        <v>Low</v>
      </c>
      <c r="K123" t="str">
        <f t="shared" ca="1" si="18"/>
        <v>Pass</v>
      </c>
      <c r="L123" s="4" t="str" cm="1">
        <f t="array" aca="1" ref="L123" ca="1">_xlfn.IFS(D123&gt;=85,"A", D123&gt;=70,"B", D123&gt;=50,"C", D123&lt;50,"D")</f>
        <v>C</v>
      </c>
      <c r="M123" t="str">
        <f t="shared" ca="1" si="19"/>
        <v>Low</v>
      </c>
    </row>
    <row r="124" spans="1:13" x14ac:dyDescent="0.3">
      <c r="A124" t="s">
        <v>166</v>
      </c>
      <c r="B124" t="str">
        <f t="shared" ca="1" si="10"/>
        <v>10-A</v>
      </c>
      <c r="C124" t="str">
        <f t="shared" ca="1" si="11"/>
        <v>English</v>
      </c>
      <c r="D124">
        <f t="shared" ca="1" si="12"/>
        <v>34.4</v>
      </c>
      <c r="E124">
        <v>100</v>
      </c>
      <c r="F124">
        <f t="shared" ca="1" si="13"/>
        <v>44</v>
      </c>
      <c r="G124" t="str">
        <f t="shared" ca="1" si="14"/>
        <v>None</v>
      </c>
      <c r="H124" t="str">
        <f t="shared" ca="1" si="15"/>
        <v>Yes</v>
      </c>
      <c r="I124" t="str">
        <f t="shared" ca="1" si="16"/>
        <v>Yes</v>
      </c>
      <c r="J124" t="str">
        <f t="shared" ca="1" si="17"/>
        <v>Medium</v>
      </c>
      <c r="K124" t="str">
        <f t="shared" ca="1" si="18"/>
        <v>Fail</v>
      </c>
      <c r="L124" s="4" t="str" cm="1">
        <f t="array" aca="1" ref="L124" ca="1">_xlfn.IFS(D124&gt;=85,"A", D124&gt;=70,"B", D124&gt;=50,"C", D124&lt;50,"D")</f>
        <v>D</v>
      </c>
      <c r="M124" t="str">
        <f t="shared" ca="1" si="19"/>
        <v>Low</v>
      </c>
    </row>
    <row r="125" spans="1:13" x14ac:dyDescent="0.3">
      <c r="A125" t="s">
        <v>167</v>
      </c>
      <c r="B125" t="str">
        <f t="shared" ca="1" si="10"/>
        <v>10-C</v>
      </c>
      <c r="C125" t="str">
        <f t="shared" ca="1" si="11"/>
        <v>Math</v>
      </c>
      <c r="D125">
        <f t="shared" ca="1" si="12"/>
        <v>73.400000000000006</v>
      </c>
      <c r="E125">
        <v>100</v>
      </c>
      <c r="F125">
        <f t="shared" ca="1" si="13"/>
        <v>64</v>
      </c>
      <c r="G125" t="str">
        <f t="shared" ca="1" si="14"/>
        <v>None</v>
      </c>
      <c r="H125" t="str">
        <f t="shared" ca="1" si="15"/>
        <v>No</v>
      </c>
      <c r="I125" t="str">
        <f t="shared" ca="1" si="16"/>
        <v>No</v>
      </c>
      <c r="J125" t="str">
        <f t="shared" ca="1" si="17"/>
        <v>High</v>
      </c>
      <c r="K125" t="str">
        <f t="shared" ca="1" si="18"/>
        <v>Pass</v>
      </c>
      <c r="L125" s="4" t="str" cm="1">
        <f t="array" aca="1" ref="L125" ca="1">_xlfn.IFS(D125&gt;=85,"A", D125&gt;=70,"B", D125&gt;=50,"C", D125&lt;50,"D")</f>
        <v>B</v>
      </c>
      <c r="M125" t="str">
        <f t="shared" ca="1" si="19"/>
        <v>Low</v>
      </c>
    </row>
    <row r="126" spans="1:13" x14ac:dyDescent="0.3">
      <c r="A126" t="s">
        <v>168</v>
      </c>
      <c r="B126" t="str">
        <f t="shared" ca="1" si="10"/>
        <v>10-C</v>
      </c>
      <c r="C126" t="str">
        <f t="shared" ca="1" si="11"/>
        <v>English</v>
      </c>
      <c r="D126">
        <f t="shared" ca="1" si="12"/>
        <v>46.7</v>
      </c>
      <c r="E126">
        <v>100</v>
      </c>
      <c r="F126">
        <f t="shared" ca="1" si="13"/>
        <v>47</v>
      </c>
      <c r="G126" t="str">
        <f t="shared" ca="1" si="14"/>
        <v>Completed</v>
      </c>
      <c r="H126" t="str">
        <f t="shared" ca="1" si="15"/>
        <v>Yes</v>
      </c>
      <c r="I126" t="str">
        <f t="shared" ca="1" si="16"/>
        <v>Yes</v>
      </c>
      <c r="J126" t="str">
        <f t="shared" ca="1" si="17"/>
        <v>Medium</v>
      </c>
      <c r="K126" t="str">
        <f t="shared" ca="1" si="18"/>
        <v>Pass</v>
      </c>
      <c r="L126" s="4" t="str" cm="1">
        <f t="array" aca="1" ref="L126" ca="1">_xlfn.IFS(D126&gt;=85,"A", D126&gt;=70,"B", D126&gt;=50,"C", D126&lt;50,"D")</f>
        <v>D</v>
      </c>
      <c r="M126" t="str">
        <f t="shared" ca="1" si="19"/>
        <v>Low</v>
      </c>
    </row>
    <row r="127" spans="1:13" x14ac:dyDescent="0.3">
      <c r="A127" t="s">
        <v>169</v>
      </c>
      <c r="B127" t="str">
        <f t="shared" ca="1" si="10"/>
        <v>10-C</v>
      </c>
      <c r="C127" t="str">
        <f t="shared" ca="1" si="11"/>
        <v>Math</v>
      </c>
      <c r="D127">
        <f t="shared" ca="1" si="12"/>
        <v>36.799999999999997</v>
      </c>
      <c r="E127">
        <v>100</v>
      </c>
      <c r="F127">
        <f t="shared" ca="1" si="13"/>
        <v>48</v>
      </c>
      <c r="G127" t="str">
        <f t="shared" ca="1" si="14"/>
        <v>Completed</v>
      </c>
      <c r="H127" t="str">
        <f t="shared" ca="1" si="15"/>
        <v>Yes</v>
      </c>
      <c r="I127" t="str">
        <f t="shared" ca="1" si="16"/>
        <v>No</v>
      </c>
      <c r="J127" t="str">
        <f t="shared" ca="1" si="17"/>
        <v>Critical</v>
      </c>
      <c r="K127" t="str">
        <f t="shared" ca="1" si="18"/>
        <v>Fail</v>
      </c>
      <c r="L127" s="4" t="str" cm="1">
        <f t="array" aca="1" ref="L127" ca="1">_xlfn.IFS(D127&gt;=85,"A", D127&gt;=70,"B", D127&gt;=50,"C", D127&lt;50,"D")</f>
        <v>D</v>
      </c>
      <c r="M127" t="str">
        <f t="shared" ca="1" si="19"/>
        <v>Low</v>
      </c>
    </row>
    <row r="128" spans="1:13" x14ac:dyDescent="0.3">
      <c r="A128" t="s">
        <v>170</v>
      </c>
      <c r="B128" t="str">
        <f t="shared" ca="1" si="10"/>
        <v>10-B</v>
      </c>
      <c r="C128" t="str">
        <f t="shared" ca="1" si="11"/>
        <v>Science</v>
      </c>
      <c r="D128">
        <f t="shared" ca="1" si="12"/>
        <v>40.5</v>
      </c>
      <c r="E128">
        <v>100</v>
      </c>
      <c r="F128">
        <f t="shared" ca="1" si="13"/>
        <v>75</v>
      </c>
      <c r="G128" t="str">
        <f t="shared" ca="1" si="14"/>
        <v>Completed</v>
      </c>
      <c r="H128" t="str">
        <f t="shared" ca="1" si="15"/>
        <v>No</v>
      </c>
      <c r="I128" t="str">
        <f t="shared" ca="1" si="16"/>
        <v>No</v>
      </c>
      <c r="J128" t="str">
        <f t="shared" ca="1" si="17"/>
        <v>Critical</v>
      </c>
      <c r="K128" t="str">
        <f t="shared" ca="1" si="18"/>
        <v>Pass</v>
      </c>
      <c r="L128" s="4" t="str" cm="1">
        <f t="array" aca="1" ref="L128" ca="1">_xlfn.IFS(D128&gt;=85,"A", D128&gt;=70,"B", D128&gt;=50,"C", D128&lt;50,"D")</f>
        <v>D</v>
      </c>
      <c r="M128" t="str">
        <f t="shared" ca="1" si="19"/>
        <v>Medium</v>
      </c>
    </row>
    <row r="129" spans="1:13" x14ac:dyDescent="0.3">
      <c r="A129" t="s">
        <v>171</v>
      </c>
      <c r="B129" t="str">
        <f t="shared" ca="1" si="10"/>
        <v>10-B</v>
      </c>
      <c r="C129" t="str">
        <f t="shared" ca="1" si="11"/>
        <v>English</v>
      </c>
      <c r="D129">
        <f t="shared" ca="1" si="12"/>
        <v>64.3</v>
      </c>
      <c r="E129">
        <v>100</v>
      </c>
      <c r="F129">
        <f t="shared" ca="1" si="13"/>
        <v>83</v>
      </c>
      <c r="G129" t="str">
        <f t="shared" ca="1" si="14"/>
        <v>Completed</v>
      </c>
      <c r="H129" t="str">
        <f t="shared" ca="1" si="15"/>
        <v>Yes</v>
      </c>
      <c r="I129" t="str">
        <f t="shared" ca="1" si="16"/>
        <v>Yes</v>
      </c>
      <c r="J129" t="str">
        <f t="shared" ca="1" si="17"/>
        <v>Low</v>
      </c>
      <c r="K129" t="str">
        <f t="shared" ca="1" si="18"/>
        <v>Pass</v>
      </c>
      <c r="L129" s="4" t="str" cm="1">
        <f t="array" aca="1" ref="L129" ca="1">_xlfn.IFS(D129&gt;=85,"A", D129&gt;=70,"B", D129&gt;=50,"C", D129&lt;50,"D")</f>
        <v>C</v>
      </c>
      <c r="M129" t="str">
        <f t="shared" ca="1" si="19"/>
        <v>Medium</v>
      </c>
    </row>
    <row r="130" spans="1:13" x14ac:dyDescent="0.3">
      <c r="A130" t="s">
        <v>172</v>
      </c>
      <c r="B130" t="str">
        <f t="shared" ca="1" si="10"/>
        <v>10-A</v>
      </c>
      <c r="C130" t="str">
        <f t="shared" ca="1" si="11"/>
        <v>Math</v>
      </c>
      <c r="D130">
        <f t="shared" ca="1" si="12"/>
        <v>52.8</v>
      </c>
      <c r="E130">
        <v>100</v>
      </c>
      <c r="F130">
        <f t="shared" ca="1" si="13"/>
        <v>98</v>
      </c>
      <c r="G130" t="str">
        <f t="shared" ca="1" si="14"/>
        <v>None</v>
      </c>
      <c r="H130" t="str">
        <f t="shared" ca="1" si="15"/>
        <v>Yes</v>
      </c>
      <c r="I130" t="str">
        <f t="shared" ca="1" si="16"/>
        <v>Yes</v>
      </c>
      <c r="J130" t="str">
        <f t="shared" ca="1" si="17"/>
        <v>Low</v>
      </c>
      <c r="K130" t="str">
        <f t="shared" ca="1" si="18"/>
        <v>Pass</v>
      </c>
      <c r="L130" s="4" t="str" cm="1">
        <f t="array" aca="1" ref="L130" ca="1">_xlfn.IFS(D130&gt;=85,"A", D130&gt;=70,"B", D130&gt;=50,"C", D130&lt;50,"D")</f>
        <v>C</v>
      </c>
      <c r="M130" t="str">
        <f t="shared" ca="1" si="19"/>
        <v>High</v>
      </c>
    </row>
    <row r="131" spans="1:13" x14ac:dyDescent="0.3">
      <c r="A131" t="s">
        <v>173</v>
      </c>
      <c r="B131" t="str">
        <f t="shared" ref="B131:B194" ca="1" si="20">CHOOSE(RANDBETWEEN(1,3), "10-A", "10-B", "10-C")</f>
        <v>10-C</v>
      </c>
      <c r="C131" t="str">
        <f t="shared" ref="C131:C194" ca="1" si="21">CHOOSE(RANDBETWEEN(1,3), "Math", "Science", "English")</f>
        <v>Science</v>
      </c>
      <c r="D131">
        <f t="shared" ref="D131:D194" ca="1" si="22">MIN(100, RANDBETWEEN(30, 80) + (F131/10))</f>
        <v>47</v>
      </c>
      <c r="E131">
        <v>100</v>
      </c>
      <c r="F131">
        <f t="shared" ref="F131:F194" ca="1" si="23">RANDBETWEEN(40, 100)</f>
        <v>90</v>
      </c>
      <c r="G131" t="str">
        <f t="shared" ref="G131:G194" ca="1" si="24">IF(RANDBETWEEN(0,1)=1, "Completed", "None")</f>
        <v>None</v>
      </c>
      <c r="H131" t="str">
        <f t="shared" ref="H131:H194" ca="1" si="25">IF(RANDBETWEEN(1,10)&gt;3, "Yes", "No")</f>
        <v>Yes</v>
      </c>
      <c r="I131" t="str">
        <f t="shared" ref="I131:I194" ca="1" si="26">IF(RANDBETWEEN(1,10)&gt;3, "Yes", "No")</f>
        <v>Yes</v>
      </c>
      <c r="J131" t="str">
        <f t="shared" ref="J131:J194" ca="1" si="27">IF(TRIM(I131)="No", IF(VALUE(D131)&lt;50, "Critical", "High"), IF(VALUE(D131)&lt;50, "Medium", "Low"))</f>
        <v>Medium</v>
      </c>
      <c r="K131" t="str">
        <f t="shared" ref="K131:K194" ca="1" si="28">IF(D131&gt;=40, "Pass", "Fail")</f>
        <v>Pass</v>
      </c>
      <c r="L131" s="4" t="str" cm="1">
        <f t="array" aca="1" ref="L131" ca="1">_xlfn.IFS(D131&gt;=85,"A", D131&gt;=70,"B", D131&gt;=50,"C", D131&lt;50,"D")</f>
        <v>D</v>
      </c>
      <c r="M131" t="str">
        <f t="shared" ref="M131:M194" ca="1" si="29">IF(F131&gt;=85, "High", IF(F131&gt;=75, "Medium", "Low"))</f>
        <v>High</v>
      </c>
    </row>
    <row r="132" spans="1:13" x14ac:dyDescent="0.3">
      <c r="A132" t="s">
        <v>174</v>
      </c>
      <c r="B132" t="str">
        <f t="shared" ca="1" si="20"/>
        <v>10-B</v>
      </c>
      <c r="C132" t="str">
        <f t="shared" ca="1" si="21"/>
        <v>Math</v>
      </c>
      <c r="D132">
        <f t="shared" ca="1" si="22"/>
        <v>55.1</v>
      </c>
      <c r="E132">
        <v>100</v>
      </c>
      <c r="F132">
        <f t="shared" ca="1" si="23"/>
        <v>51</v>
      </c>
      <c r="G132" t="str">
        <f t="shared" ca="1" si="24"/>
        <v>None</v>
      </c>
      <c r="H132" t="str">
        <f t="shared" ca="1" si="25"/>
        <v>Yes</v>
      </c>
      <c r="I132" t="str">
        <f t="shared" ca="1" si="26"/>
        <v>Yes</v>
      </c>
      <c r="J132" t="str">
        <f t="shared" ca="1" si="27"/>
        <v>Low</v>
      </c>
      <c r="K132" t="str">
        <f t="shared" ca="1" si="28"/>
        <v>Pass</v>
      </c>
      <c r="L132" s="4" t="str" cm="1">
        <f t="array" aca="1" ref="L132" ca="1">_xlfn.IFS(D132&gt;=85,"A", D132&gt;=70,"B", D132&gt;=50,"C", D132&lt;50,"D")</f>
        <v>C</v>
      </c>
      <c r="M132" t="str">
        <f t="shared" ca="1" si="29"/>
        <v>Low</v>
      </c>
    </row>
    <row r="133" spans="1:13" x14ac:dyDescent="0.3">
      <c r="A133" t="s">
        <v>175</v>
      </c>
      <c r="B133" t="str">
        <f t="shared" ca="1" si="20"/>
        <v>10-C</v>
      </c>
      <c r="C133" t="str">
        <f t="shared" ca="1" si="21"/>
        <v>Math</v>
      </c>
      <c r="D133">
        <f t="shared" ca="1" si="22"/>
        <v>71.400000000000006</v>
      </c>
      <c r="E133">
        <v>100</v>
      </c>
      <c r="F133">
        <f t="shared" ca="1" si="23"/>
        <v>64</v>
      </c>
      <c r="G133" t="str">
        <f t="shared" ca="1" si="24"/>
        <v>None</v>
      </c>
      <c r="H133" t="str">
        <f t="shared" ca="1" si="25"/>
        <v>Yes</v>
      </c>
      <c r="I133" t="str">
        <f t="shared" ca="1" si="26"/>
        <v>No</v>
      </c>
      <c r="J133" t="str">
        <f t="shared" ca="1" si="27"/>
        <v>High</v>
      </c>
      <c r="K133" t="str">
        <f t="shared" ca="1" si="28"/>
        <v>Pass</v>
      </c>
      <c r="L133" s="4" t="str" cm="1">
        <f t="array" aca="1" ref="L133" ca="1">_xlfn.IFS(D133&gt;=85,"A", D133&gt;=70,"B", D133&gt;=50,"C", D133&lt;50,"D")</f>
        <v>B</v>
      </c>
      <c r="M133" t="str">
        <f t="shared" ca="1" si="29"/>
        <v>Low</v>
      </c>
    </row>
    <row r="134" spans="1:13" x14ac:dyDescent="0.3">
      <c r="A134" t="s">
        <v>176</v>
      </c>
      <c r="B134" t="str">
        <f t="shared" ca="1" si="20"/>
        <v>10-A</v>
      </c>
      <c r="C134" t="str">
        <f t="shared" ca="1" si="21"/>
        <v>Math</v>
      </c>
      <c r="D134">
        <f t="shared" ca="1" si="22"/>
        <v>48.6</v>
      </c>
      <c r="E134">
        <v>100</v>
      </c>
      <c r="F134">
        <f t="shared" ca="1" si="23"/>
        <v>86</v>
      </c>
      <c r="G134" t="str">
        <f t="shared" ca="1" si="24"/>
        <v>None</v>
      </c>
      <c r="H134" t="str">
        <f t="shared" ca="1" si="25"/>
        <v>Yes</v>
      </c>
      <c r="I134" t="str">
        <f t="shared" ca="1" si="26"/>
        <v>Yes</v>
      </c>
      <c r="J134" t="str">
        <f t="shared" ca="1" si="27"/>
        <v>Medium</v>
      </c>
      <c r="K134" t="str">
        <f t="shared" ca="1" si="28"/>
        <v>Pass</v>
      </c>
      <c r="L134" s="4" t="str" cm="1">
        <f t="array" aca="1" ref="L134" ca="1">_xlfn.IFS(D134&gt;=85,"A", D134&gt;=70,"B", D134&gt;=50,"C", D134&lt;50,"D")</f>
        <v>D</v>
      </c>
      <c r="M134" t="str">
        <f t="shared" ca="1" si="29"/>
        <v>High</v>
      </c>
    </row>
    <row r="135" spans="1:13" x14ac:dyDescent="0.3">
      <c r="A135" t="s">
        <v>177</v>
      </c>
      <c r="B135" t="str">
        <f t="shared" ca="1" si="20"/>
        <v>10-A</v>
      </c>
      <c r="C135" t="str">
        <f t="shared" ca="1" si="21"/>
        <v>English</v>
      </c>
      <c r="D135">
        <f t="shared" ca="1" si="22"/>
        <v>43.9</v>
      </c>
      <c r="E135">
        <v>100</v>
      </c>
      <c r="F135">
        <f t="shared" ca="1" si="23"/>
        <v>89</v>
      </c>
      <c r="G135" t="str">
        <f t="shared" ca="1" si="24"/>
        <v>Completed</v>
      </c>
      <c r="H135" t="str">
        <f t="shared" ca="1" si="25"/>
        <v>Yes</v>
      </c>
      <c r="I135" t="str">
        <f t="shared" ca="1" si="26"/>
        <v>No</v>
      </c>
      <c r="J135" t="str">
        <f t="shared" ca="1" si="27"/>
        <v>Critical</v>
      </c>
      <c r="K135" t="str">
        <f t="shared" ca="1" si="28"/>
        <v>Pass</v>
      </c>
      <c r="L135" s="4" t="str" cm="1">
        <f t="array" aca="1" ref="L135" ca="1">_xlfn.IFS(D135&gt;=85,"A", D135&gt;=70,"B", D135&gt;=50,"C", D135&lt;50,"D")</f>
        <v>D</v>
      </c>
      <c r="M135" t="str">
        <f t="shared" ca="1" si="29"/>
        <v>High</v>
      </c>
    </row>
    <row r="136" spans="1:13" x14ac:dyDescent="0.3">
      <c r="A136" t="s">
        <v>178</v>
      </c>
      <c r="B136" t="str">
        <f t="shared" ca="1" si="20"/>
        <v>10-A</v>
      </c>
      <c r="C136" t="str">
        <f t="shared" ca="1" si="21"/>
        <v>English</v>
      </c>
      <c r="D136">
        <f t="shared" ca="1" si="22"/>
        <v>68.900000000000006</v>
      </c>
      <c r="E136">
        <v>100</v>
      </c>
      <c r="F136">
        <f t="shared" ca="1" si="23"/>
        <v>89</v>
      </c>
      <c r="G136" t="str">
        <f t="shared" ca="1" si="24"/>
        <v>Completed</v>
      </c>
      <c r="H136" t="str">
        <f t="shared" ca="1" si="25"/>
        <v>Yes</v>
      </c>
      <c r="I136" t="str">
        <f t="shared" ca="1" si="26"/>
        <v>No</v>
      </c>
      <c r="J136" t="str">
        <f t="shared" ca="1" si="27"/>
        <v>High</v>
      </c>
      <c r="K136" t="str">
        <f t="shared" ca="1" si="28"/>
        <v>Pass</v>
      </c>
      <c r="L136" s="4" t="str" cm="1">
        <f t="array" aca="1" ref="L136" ca="1">_xlfn.IFS(D136&gt;=85,"A", D136&gt;=70,"B", D136&gt;=50,"C", D136&lt;50,"D")</f>
        <v>C</v>
      </c>
      <c r="M136" t="str">
        <f t="shared" ca="1" si="29"/>
        <v>High</v>
      </c>
    </row>
    <row r="137" spans="1:13" x14ac:dyDescent="0.3">
      <c r="A137" t="s">
        <v>179</v>
      </c>
      <c r="B137" t="str">
        <f t="shared" ca="1" si="20"/>
        <v>10-C</v>
      </c>
      <c r="C137" t="str">
        <f t="shared" ca="1" si="21"/>
        <v>Science</v>
      </c>
      <c r="D137">
        <f t="shared" ca="1" si="22"/>
        <v>39.700000000000003</v>
      </c>
      <c r="E137">
        <v>100</v>
      </c>
      <c r="F137">
        <f t="shared" ca="1" si="23"/>
        <v>67</v>
      </c>
      <c r="G137" t="str">
        <f t="shared" ca="1" si="24"/>
        <v>None</v>
      </c>
      <c r="H137" t="str">
        <f t="shared" ca="1" si="25"/>
        <v>No</v>
      </c>
      <c r="I137" t="str">
        <f t="shared" ca="1" si="26"/>
        <v>No</v>
      </c>
      <c r="J137" t="str">
        <f t="shared" ca="1" si="27"/>
        <v>Critical</v>
      </c>
      <c r="K137" t="str">
        <f t="shared" ca="1" si="28"/>
        <v>Fail</v>
      </c>
      <c r="L137" s="4" t="str" cm="1">
        <f t="array" aca="1" ref="L137" ca="1">_xlfn.IFS(D137&gt;=85,"A", D137&gt;=70,"B", D137&gt;=50,"C", D137&lt;50,"D")</f>
        <v>D</v>
      </c>
      <c r="M137" t="str">
        <f t="shared" ca="1" si="29"/>
        <v>Low</v>
      </c>
    </row>
    <row r="138" spans="1:13" x14ac:dyDescent="0.3">
      <c r="A138" t="s">
        <v>180</v>
      </c>
      <c r="B138" t="str">
        <f t="shared" ca="1" si="20"/>
        <v>10-A</v>
      </c>
      <c r="C138" t="str">
        <f t="shared" ca="1" si="21"/>
        <v>Science</v>
      </c>
      <c r="D138">
        <f t="shared" ca="1" si="22"/>
        <v>61.6</v>
      </c>
      <c r="E138">
        <v>100</v>
      </c>
      <c r="F138">
        <f t="shared" ca="1" si="23"/>
        <v>96</v>
      </c>
      <c r="G138" t="str">
        <f t="shared" ca="1" si="24"/>
        <v>None</v>
      </c>
      <c r="H138" t="str">
        <f t="shared" ca="1" si="25"/>
        <v>Yes</v>
      </c>
      <c r="I138" t="str">
        <f t="shared" ca="1" si="26"/>
        <v>Yes</v>
      </c>
      <c r="J138" t="str">
        <f t="shared" ca="1" si="27"/>
        <v>Low</v>
      </c>
      <c r="K138" t="str">
        <f t="shared" ca="1" si="28"/>
        <v>Pass</v>
      </c>
      <c r="L138" s="4" t="str" cm="1">
        <f t="array" aca="1" ref="L138" ca="1">_xlfn.IFS(D138&gt;=85,"A", D138&gt;=70,"B", D138&gt;=50,"C", D138&lt;50,"D")</f>
        <v>C</v>
      </c>
      <c r="M138" t="str">
        <f t="shared" ca="1" si="29"/>
        <v>High</v>
      </c>
    </row>
    <row r="139" spans="1:13" x14ac:dyDescent="0.3">
      <c r="A139" t="s">
        <v>181</v>
      </c>
      <c r="B139" t="str">
        <f t="shared" ca="1" si="20"/>
        <v>10-A</v>
      </c>
      <c r="C139" t="str">
        <f t="shared" ca="1" si="21"/>
        <v>Math</v>
      </c>
      <c r="D139">
        <f t="shared" ca="1" si="22"/>
        <v>47.1</v>
      </c>
      <c r="E139">
        <v>100</v>
      </c>
      <c r="F139">
        <f t="shared" ca="1" si="23"/>
        <v>61</v>
      </c>
      <c r="G139" t="str">
        <f t="shared" ca="1" si="24"/>
        <v>Completed</v>
      </c>
      <c r="H139" t="str">
        <f t="shared" ca="1" si="25"/>
        <v>Yes</v>
      </c>
      <c r="I139" t="str">
        <f t="shared" ca="1" si="26"/>
        <v>No</v>
      </c>
      <c r="J139" t="str">
        <f t="shared" ca="1" si="27"/>
        <v>Critical</v>
      </c>
      <c r="K139" t="str">
        <f t="shared" ca="1" si="28"/>
        <v>Pass</v>
      </c>
      <c r="L139" s="4" t="str" cm="1">
        <f t="array" aca="1" ref="L139" ca="1">_xlfn.IFS(D139&gt;=85,"A", D139&gt;=70,"B", D139&gt;=50,"C", D139&lt;50,"D")</f>
        <v>D</v>
      </c>
      <c r="M139" t="str">
        <f t="shared" ca="1" si="29"/>
        <v>Low</v>
      </c>
    </row>
    <row r="140" spans="1:13" x14ac:dyDescent="0.3">
      <c r="A140" t="s">
        <v>182</v>
      </c>
      <c r="B140" t="str">
        <f t="shared" ca="1" si="20"/>
        <v>10-C</v>
      </c>
      <c r="C140" t="str">
        <f t="shared" ca="1" si="21"/>
        <v>English</v>
      </c>
      <c r="D140">
        <f t="shared" ca="1" si="22"/>
        <v>82</v>
      </c>
      <c r="E140">
        <v>100</v>
      </c>
      <c r="F140">
        <f t="shared" ca="1" si="23"/>
        <v>50</v>
      </c>
      <c r="G140" t="str">
        <f t="shared" ca="1" si="24"/>
        <v>None</v>
      </c>
      <c r="H140" t="str">
        <f t="shared" ca="1" si="25"/>
        <v>Yes</v>
      </c>
      <c r="I140" t="str">
        <f t="shared" ca="1" si="26"/>
        <v>Yes</v>
      </c>
      <c r="J140" t="str">
        <f t="shared" ca="1" si="27"/>
        <v>Low</v>
      </c>
      <c r="K140" t="str">
        <f t="shared" ca="1" si="28"/>
        <v>Pass</v>
      </c>
      <c r="L140" s="4" t="str" cm="1">
        <f t="array" aca="1" ref="L140" ca="1">_xlfn.IFS(D140&gt;=85,"A", D140&gt;=70,"B", D140&gt;=50,"C", D140&lt;50,"D")</f>
        <v>B</v>
      </c>
      <c r="M140" t="str">
        <f t="shared" ca="1" si="29"/>
        <v>Low</v>
      </c>
    </row>
    <row r="141" spans="1:13" x14ac:dyDescent="0.3">
      <c r="A141" t="s">
        <v>183</v>
      </c>
      <c r="B141" t="str">
        <f t="shared" ca="1" si="20"/>
        <v>10-C</v>
      </c>
      <c r="C141" t="str">
        <f t="shared" ca="1" si="21"/>
        <v>Math</v>
      </c>
      <c r="D141">
        <f t="shared" ca="1" si="22"/>
        <v>38.700000000000003</v>
      </c>
      <c r="E141">
        <v>100</v>
      </c>
      <c r="F141">
        <f t="shared" ca="1" si="23"/>
        <v>87</v>
      </c>
      <c r="G141" t="str">
        <f t="shared" ca="1" si="24"/>
        <v>Completed</v>
      </c>
      <c r="H141" t="str">
        <f t="shared" ca="1" si="25"/>
        <v>Yes</v>
      </c>
      <c r="I141" t="str">
        <f t="shared" ca="1" si="26"/>
        <v>Yes</v>
      </c>
      <c r="J141" t="str">
        <f t="shared" ca="1" si="27"/>
        <v>Medium</v>
      </c>
      <c r="K141" t="str">
        <f t="shared" ca="1" si="28"/>
        <v>Fail</v>
      </c>
      <c r="L141" s="4" t="str" cm="1">
        <f t="array" aca="1" ref="L141" ca="1">_xlfn.IFS(D141&gt;=85,"A", D141&gt;=70,"B", D141&gt;=50,"C", D141&lt;50,"D")</f>
        <v>D</v>
      </c>
      <c r="M141" t="str">
        <f t="shared" ca="1" si="29"/>
        <v>High</v>
      </c>
    </row>
    <row r="142" spans="1:13" x14ac:dyDescent="0.3">
      <c r="A142" t="s">
        <v>184</v>
      </c>
      <c r="B142" t="str">
        <f t="shared" ca="1" si="20"/>
        <v>10-A</v>
      </c>
      <c r="C142" t="str">
        <f t="shared" ca="1" si="21"/>
        <v>Science</v>
      </c>
      <c r="D142">
        <f t="shared" ca="1" si="22"/>
        <v>40.9</v>
      </c>
      <c r="E142">
        <v>100</v>
      </c>
      <c r="F142">
        <f t="shared" ca="1" si="23"/>
        <v>89</v>
      </c>
      <c r="G142" t="str">
        <f t="shared" ca="1" si="24"/>
        <v>None</v>
      </c>
      <c r="H142" t="str">
        <f t="shared" ca="1" si="25"/>
        <v>Yes</v>
      </c>
      <c r="I142" t="str">
        <f t="shared" ca="1" si="26"/>
        <v>No</v>
      </c>
      <c r="J142" t="str">
        <f t="shared" ca="1" si="27"/>
        <v>Critical</v>
      </c>
      <c r="K142" t="str">
        <f t="shared" ca="1" si="28"/>
        <v>Pass</v>
      </c>
      <c r="L142" s="4" t="str" cm="1">
        <f t="array" aca="1" ref="L142" ca="1">_xlfn.IFS(D142&gt;=85,"A", D142&gt;=70,"B", D142&gt;=50,"C", D142&lt;50,"D")</f>
        <v>D</v>
      </c>
      <c r="M142" t="str">
        <f t="shared" ca="1" si="29"/>
        <v>High</v>
      </c>
    </row>
    <row r="143" spans="1:13" x14ac:dyDescent="0.3">
      <c r="A143" t="s">
        <v>185</v>
      </c>
      <c r="B143" t="str">
        <f t="shared" ca="1" si="20"/>
        <v>10-A</v>
      </c>
      <c r="C143" t="str">
        <f t="shared" ca="1" si="21"/>
        <v>Science</v>
      </c>
      <c r="D143">
        <f t="shared" ca="1" si="22"/>
        <v>65.5</v>
      </c>
      <c r="E143">
        <v>100</v>
      </c>
      <c r="F143">
        <f t="shared" ca="1" si="23"/>
        <v>65</v>
      </c>
      <c r="G143" t="str">
        <f t="shared" ca="1" si="24"/>
        <v>None</v>
      </c>
      <c r="H143" t="str">
        <f t="shared" ca="1" si="25"/>
        <v>Yes</v>
      </c>
      <c r="I143" t="str">
        <f t="shared" ca="1" si="26"/>
        <v>Yes</v>
      </c>
      <c r="J143" t="str">
        <f t="shared" ca="1" si="27"/>
        <v>Low</v>
      </c>
      <c r="K143" t="str">
        <f t="shared" ca="1" si="28"/>
        <v>Pass</v>
      </c>
      <c r="L143" s="4" t="str" cm="1">
        <f t="array" aca="1" ref="L143" ca="1">_xlfn.IFS(D143&gt;=85,"A", D143&gt;=70,"B", D143&gt;=50,"C", D143&lt;50,"D")</f>
        <v>C</v>
      </c>
      <c r="M143" t="str">
        <f t="shared" ca="1" si="29"/>
        <v>Low</v>
      </c>
    </row>
    <row r="144" spans="1:13" x14ac:dyDescent="0.3">
      <c r="A144" t="s">
        <v>186</v>
      </c>
      <c r="B144" t="str">
        <f t="shared" ca="1" si="20"/>
        <v>10-C</v>
      </c>
      <c r="C144" t="str">
        <f t="shared" ca="1" si="21"/>
        <v>English</v>
      </c>
      <c r="D144">
        <f t="shared" ca="1" si="22"/>
        <v>65.5</v>
      </c>
      <c r="E144">
        <v>100</v>
      </c>
      <c r="F144">
        <f t="shared" ca="1" si="23"/>
        <v>85</v>
      </c>
      <c r="G144" t="str">
        <f t="shared" ca="1" si="24"/>
        <v>None</v>
      </c>
      <c r="H144" t="str">
        <f t="shared" ca="1" si="25"/>
        <v>No</v>
      </c>
      <c r="I144" t="str">
        <f t="shared" ca="1" si="26"/>
        <v>No</v>
      </c>
      <c r="J144" t="str">
        <f t="shared" ca="1" si="27"/>
        <v>High</v>
      </c>
      <c r="K144" t="str">
        <f t="shared" ca="1" si="28"/>
        <v>Pass</v>
      </c>
      <c r="L144" s="4" t="str" cm="1">
        <f t="array" aca="1" ref="L144" ca="1">_xlfn.IFS(D144&gt;=85,"A", D144&gt;=70,"B", D144&gt;=50,"C", D144&lt;50,"D")</f>
        <v>C</v>
      </c>
      <c r="M144" t="str">
        <f t="shared" ca="1" si="29"/>
        <v>High</v>
      </c>
    </row>
    <row r="145" spans="1:13" x14ac:dyDescent="0.3">
      <c r="A145" t="s">
        <v>187</v>
      </c>
      <c r="B145" t="str">
        <f t="shared" ca="1" si="20"/>
        <v>10-B</v>
      </c>
      <c r="C145" t="str">
        <f t="shared" ca="1" si="21"/>
        <v>Math</v>
      </c>
      <c r="D145">
        <f t="shared" ca="1" si="22"/>
        <v>63.1</v>
      </c>
      <c r="E145">
        <v>100</v>
      </c>
      <c r="F145">
        <f t="shared" ca="1" si="23"/>
        <v>61</v>
      </c>
      <c r="G145" t="str">
        <f t="shared" ca="1" si="24"/>
        <v>Completed</v>
      </c>
      <c r="H145" t="str">
        <f t="shared" ca="1" si="25"/>
        <v>Yes</v>
      </c>
      <c r="I145" t="str">
        <f t="shared" ca="1" si="26"/>
        <v>Yes</v>
      </c>
      <c r="J145" t="str">
        <f t="shared" ca="1" si="27"/>
        <v>Low</v>
      </c>
      <c r="K145" t="str">
        <f t="shared" ca="1" si="28"/>
        <v>Pass</v>
      </c>
      <c r="L145" s="4" t="str" cm="1">
        <f t="array" aca="1" ref="L145" ca="1">_xlfn.IFS(D145&gt;=85,"A", D145&gt;=70,"B", D145&gt;=50,"C", D145&lt;50,"D")</f>
        <v>C</v>
      </c>
      <c r="M145" t="str">
        <f t="shared" ca="1" si="29"/>
        <v>Low</v>
      </c>
    </row>
    <row r="146" spans="1:13" x14ac:dyDescent="0.3">
      <c r="A146" t="s">
        <v>188</v>
      </c>
      <c r="B146" t="str">
        <f t="shared" ca="1" si="20"/>
        <v>10-B</v>
      </c>
      <c r="C146" t="str">
        <f t="shared" ca="1" si="21"/>
        <v>English</v>
      </c>
      <c r="D146">
        <f t="shared" ca="1" si="22"/>
        <v>48.2</v>
      </c>
      <c r="E146">
        <v>100</v>
      </c>
      <c r="F146">
        <f t="shared" ca="1" si="23"/>
        <v>92</v>
      </c>
      <c r="G146" t="str">
        <f t="shared" ca="1" si="24"/>
        <v>None</v>
      </c>
      <c r="H146" t="str">
        <f t="shared" ca="1" si="25"/>
        <v>Yes</v>
      </c>
      <c r="I146" t="str">
        <f t="shared" ca="1" si="26"/>
        <v>No</v>
      </c>
      <c r="J146" t="str">
        <f t="shared" ca="1" si="27"/>
        <v>Critical</v>
      </c>
      <c r="K146" t="str">
        <f t="shared" ca="1" si="28"/>
        <v>Pass</v>
      </c>
      <c r="L146" s="4" t="str" cm="1">
        <f t="array" aca="1" ref="L146" ca="1">_xlfn.IFS(D146&gt;=85,"A", D146&gt;=70,"B", D146&gt;=50,"C", D146&lt;50,"D")</f>
        <v>D</v>
      </c>
      <c r="M146" t="str">
        <f t="shared" ca="1" si="29"/>
        <v>High</v>
      </c>
    </row>
    <row r="147" spans="1:13" x14ac:dyDescent="0.3">
      <c r="A147" t="s">
        <v>189</v>
      </c>
      <c r="B147" t="str">
        <f t="shared" ca="1" si="20"/>
        <v>10-A</v>
      </c>
      <c r="C147" t="str">
        <f t="shared" ca="1" si="21"/>
        <v>English</v>
      </c>
      <c r="D147">
        <f t="shared" ca="1" si="22"/>
        <v>57.9</v>
      </c>
      <c r="E147">
        <v>100</v>
      </c>
      <c r="F147">
        <f t="shared" ca="1" si="23"/>
        <v>59</v>
      </c>
      <c r="G147" t="str">
        <f t="shared" ca="1" si="24"/>
        <v>None</v>
      </c>
      <c r="H147" t="str">
        <f t="shared" ca="1" si="25"/>
        <v>Yes</v>
      </c>
      <c r="I147" t="str">
        <f t="shared" ca="1" si="26"/>
        <v>No</v>
      </c>
      <c r="J147" t="str">
        <f t="shared" ca="1" si="27"/>
        <v>High</v>
      </c>
      <c r="K147" t="str">
        <f t="shared" ca="1" si="28"/>
        <v>Pass</v>
      </c>
      <c r="L147" s="4" t="str" cm="1">
        <f t="array" aca="1" ref="L147" ca="1">_xlfn.IFS(D147&gt;=85,"A", D147&gt;=70,"B", D147&gt;=50,"C", D147&lt;50,"D")</f>
        <v>C</v>
      </c>
      <c r="M147" t="str">
        <f t="shared" ca="1" si="29"/>
        <v>Low</v>
      </c>
    </row>
    <row r="148" spans="1:13" x14ac:dyDescent="0.3">
      <c r="A148" t="s">
        <v>190</v>
      </c>
      <c r="B148" t="str">
        <f t="shared" ca="1" si="20"/>
        <v>10-A</v>
      </c>
      <c r="C148" t="str">
        <f t="shared" ca="1" si="21"/>
        <v>English</v>
      </c>
      <c r="D148">
        <f t="shared" ca="1" si="22"/>
        <v>67.599999999999994</v>
      </c>
      <c r="E148">
        <v>100</v>
      </c>
      <c r="F148">
        <f t="shared" ca="1" si="23"/>
        <v>56</v>
      </c>
      <c r="G148" t="str">
        <f t="shared" ca="1" si="24"/>
        <v>Completed</v>
      </c>
      <c r="H148" t="str">
        <f t="shared" ca="1" si="25"/>
        <v>No</v>
      </c>
      <c r="I148" t="str">
        <f t="shared" ca="1" si="26"/>
        <v>Yes</v>
      </c>
      <c r="J148" t="str">
        <f t="shared" ca="1" si="27"/>
        <v>Low</v>
      </c>
      <c r="K148" t="str">
        <f t="shared" ca="1" si="28"/>
        <v>Pass</v>
      </c>
      <c r="L148" s="4" t="str" cm="1">
        <f t="array" aca="1" ref="L148" ca="1">_xlfn.IFS(D148&gt;=85,"A", D148&gt;=70,"B", D148&gt;=50,"C", D148&lt;50,"D")</f>
        <v>C</v>
      </c>
      <c r="M148" t="str">
        <f t="shared" ca="1" si="29"/>
        <v>Low</v>
      </c>
    </row>
    <row r="149" spans="1:13" x14ac:dyDescent="0.3">
      <c r="A149" t="s">
        <v>191</v>
      </c>
      <c r="B149" t="str">
        <f t="shared" ca="1" si="20"/>
        <v>10-A</v>
      </c>
      <c r="C149" t="str">
        <f t="shared" ca="1" si="21"/>
        <v>Science</v>
      </c>
      <c r="D149">
        <f t="shared" ca="1" si="22"/>
        <v>52.2</v>
      </c>
      <c r="E149">
        <v>100</v>
      </c>
      <c r="F149">
        <f t="shared" ca="1" si="23"/>
        <v>72</v>
      </c>
      <c r="G149" t="str">
        <f t="shared" ca="1" si="24"/>
        <v>Completed</v>
      </c>
      <c r="H149" t="str">
        <f t="shared" ca="1" si="25"/>
        <v>Yes</v>
      </c>
      <c r="I149" t="str">
        <f t="shared" ca="1" si="26"/>
        <v>Yes</v>
      </c>
      <c r="J149" t="str">
        <f t="shared" ca="1" si="27"/>
        <v>Low</v>
      </c>
      <c r="K149" t="str">
        <f t="shared" ca="1" si="28"/>
        <v>Pass</v>
      </c>
      <c r="L149" s="4" t="str" cm="1">
        <f t="array" aca="1" ref="L149" ca="1">_xlfn.IFS(D149&gt;=85,"A", D149&gt;=70,"B", D149&gt;=50,"C", D149&lt;50,"D")</f>
        <v>C</v>
      </c>
      <c r="M149" t="str">
        <f t="shared" ca="1" si="29"/>
        <v>Low</v>
      </c>
    </row>
    <row r="150" spans="1:13" x14ac:dyDescent="0.3">
      <c r="A150" t="s">
        <v>192</v>
      </c>
      <c r="B150" t="str">
        <f t="shared" ca="1" si="20"/>
        <v>10-C</v>
      </c>
      <c r="C150" t="str">
        <f t="shared" ca="1" si="21"/>
        <v>English</v>
      </c>
      <c r="D150">
        <f t="shared" ca="1" si="22"/>
        <v>42</v>
      </c>
      <c r="E150">
        <v>100</v>
      </c>
      <c r="F150">
        <f t="shared" ca="1" si="23"/>
        <v>40</v>
      </c>
      <c r="G150" t="str">
        <f t="shared" ca="1" si="24"/>
        <v>None</v>
      </c>
      <c r="H150" t="str">
        <f t="shared" ca="1" si="25"/>
        <v>Yes</v>
      </c>
      <c r="I150" t="str">
        <f t="shared" ca="1" si="26"/>
        <v>Yes</v>
      </c>
      <c r="J150" t="str">
        <f t="shared" ca="1" si="27"/>
        <v>Medium</v>
      </c>
      <c r="K150" t="str">
        <f t="shared" ca="1" si="28"/>
        <v>Pass</v>
      </c>
      <c r="L150" s="4" t="str" cm="1">
        <f t="array" aca="1" ref="L150" ca="1">_xlfn.IFS(D150&gt;=85,"A", D150&gt;=70,"B", D150&gt;=50,"C", D150&lt;50,"D")</f>
        <v>D</v>
      </c>
      <c r="M150" t="str">
        <f t="shared" ca="1" si="29"/>
        <v>Low</v>
      </c>
    </row>
    <row r="151" spans="1:13" x14ac:dyDescent="0.3">
      <c r="A151" t="s">
        <v>193</v>
      </c>
      <c r="B151" t="str">
        <f t="shared" ca="1" si="20"/>
        <v>10-B</v>
      </c>
      <c r="C151" t="str">
        <f t="shared" ca="1" si="21"/>
        <v>English</v>
      </c>
      <c r="D151">
        <f t="shared" ca="1" si="22"/>
        <v>60.4</v>
      </c>
      <c r="E151">
        <v>100</v>
      </c>
      <c r="F151">
        <f t="shared" ca="1" si="23"/>
        <v>44</v>
      </c>
      <c r="G151" t="str">
        <f t="shared" ca="1" si="24"/>
        <v>Completed</v>
      </c>
      <c r="H151" t="str">
        <f t="shared" ca="1" si="25"/>
        <v>Yes</v>
      </c>
      <c r="I151" t="str">
        <f t="shared" ca="1" si="26"/>
        <v>Yes</v>
      </c>
      <c r="J151" t="str">
        <f t="shared" ca="1" si="27"/>
        <v>Low</v>
      </c>
      <c r="K151" t="str">
        <f t="shared" ca="1" si="28"/>
        <v>Pass</v>
      </c>
      <c r="L151" s="4" t="str" cm="1">
        <f t="array" aca="1" ref="L151" ca="1">_xlfn.IFS(D151&gt;=85,"A", D151&gt;=70,"B", D151&gt;=50,"C", D151&lt;50,"D")</f>
        <v>C</v>
      </c>
      <c r="M151" t="str">
        <f t="shared" ca="1" si="29"/>
        <v>Low</v>
      </c>
    </row>
    <row r="152" spans="1:13" x14ac:dyDescent="0.3">
      <c r="A152" t="s">
        <v>194</v>
      </c>
      <c r="B152" t="str">
        <f t="shared" ca="1" si="20"/>
        <v>10-B</v>
      </c>
      <c r="C152" t="str">
        <f t="shared" ca="1" si="21"/>
        <v>English</v>
      </c>
      <c r="D152">
        <f t="shared" ca="1" si="22"/>
        <v>57.1</v>
      </c>
      <c r="E152">
        <v>100</v>
      </c>
      <c r="F152">
        <f t="shared" ca="1" si="23"/>
        <v>81</v>
      </c>
      <c r="G152" t="str">
        <f t="shared" ca="1" si="24"/>
        <v>None</v>
      </c>
      <c r="H152" t="str">
        <f t="shared" ca="1" si="25"/>
        <v>Yes</v>
      </c>
      <c r="I152" t="str">
        <f t="shared" ca="1" si="26"/>
        <v>Yes</v>
      </c>
      <c r="J152" t="str">
        <f t="shared" ca="1" si="27"/>
        <v>Low</v>
      </c>
      <c r="K152" t="str">
        <f t="shared" ca="1" si="28"/>
        <v>Pass</v>
      </c>
      <c r="L152" s="4" t="str" cm="1">
        <f t="array" aca="1" ref="L152" ca="1">_xlfn.IFS(D152&gt;=85,"A", D152&gt;=70,"B", D152&gt;=50,"C", D152&lt;50,"D")</f>
        <v>C</v>
      </c>
      <c r="M152" t="str">
        <f t="shared" ca="1" si="29"/>
        <v>Medium</v>
      </c>
    </row>
    <row r="153" spans="1:13" x14ac:dyDescent="0.3">
      <c r="A153" t="s">
        <v>195</v>
      </c>
      <c r="B153" t="str">
        <f t="shared" ca="1" si="20"/>
        <v>10-A</v>
      </c>
      <c r="C153" t="str">
        <f t="shared" ca="1" si="21"/>
        <v>English</v>
      </c>
      <c r="D153">
        <f t="shared" ca="1" si="22"/>
        <v>67.2</v>
      </c>
      <c r="E153">
        <v>100</v>
      </c>
      <c r="F153">
        <f t="shared" ca="1" si="23"/>
        <v>52</v>
      </c>
      <c r="G153" t="str">
        <f t="shared" ca="1" si="24"/>
        <v>Completed</v>
      </c>
      <c r="H153" t="str">
        <f t="shared" ca="1" si="25"/>
        <v>Yes</v>
      </c>
      <c r="I153" t="str">
        <f t="shared" ca="1" si="26"/>
        <v>Yes</v>
      </c>
      <c r="J153" t="str">
        <f t="shared" ca="1" si="27"/>
        <v>Low</v>
      </c>
      <c r="K153" t="str">
        <f t="shared" ca="1" si="28"/>
        <v>Pass</v>
      </c>
      <c r="L153" s="4" t="str" cm="1">
        <f t="array" aca="1" ref="L153" ca="1">_xlfn.IFS(D153&gt;=85,"A", D153&gt;=70,"B", D153&gt;=50,"C", D153&lt;50,"D")</f>
        <v>C</v>
      </c>
      <c r="M153" t="str">
        <f t="shared" ca="1" si="29"/>
        <v>Low</v>
      </c>
    </row>
    <row r="154" spans="1:13" x14ac:dyDescent="0.3">
      <c r="A154" t="s">
        <v>196</v>
      </c>
      <c r="B154" t="str">
        <f t="shared" ca="1" si="20"/>
        <v>10-A</v>
      </c>
      <c r="C154" t="str">
        <f t="shared" ca="1" si="21"/>
        <v>English</v>
      </c>
      <c r="D154">
        <f t="shared" ca="1" si="22"/>
        <v>43.9</v>
      </c>
      <c r="E154">
        <v>100</v>
      </c>
      <c r="F154">
        <f t="shared" ca="1" si="23"/>
        <v>99</v>
      </c>
      <c r="G154" t="str">
        <f t="shared" ca="1" si="24"/>
        <v>None</v>
      </c>
      <c r="H154" t="str">
        <f t="shared" ca="1" si="25"/>
        <v>No</v>
      </c>
      <c r="I154" t="str">
        <f t="shared" ca="1" si="26"/>
        <v>Yes</v>
      </c>
      <c r="J154" t="str">
        <f t="shared" ca="1" si="27"/>
        <v>Medium</v>
      </c>
      <c r="K154" t="str">
        <f t="shared" ca="1" si="28"/>
        <v>Pass</v>
      </c>
      <c r="L154" s="4" t="str" cm="1">
        <f t="array" aca="1" ref="L154" ca="1">_xlfn.IFS(D154&gt;=85,"A", D154&gt;=70,"B", D154&gt;=50,"C", D154&lt;50,"D")</f>
        <v>D</v>
      </c>
      <c r="M154" t="str">
        <f t="shared" ca="1" si="29"/>
        <v>High</v>
      </c>
    </row>
    <row r="155" spans="1:13" x14ac:dyDescent="0.3">
      <c r="A155" t="s">
        <v>197</v>
      </c>
      <c r="B155" t="str">
        <f t="shared" ca="1" si="20"/>
        <v>10-B</v>
      </c>
      <c r="C155" t="str">
        <f t="shared" ca="1" si="21"/>
        <v>Science</v>
      </c>
      <c r="D155">
        <f t="shared" ca="1" si="22"/>
        <v>64</v>
      </c>
      <c r="E155">
        <v>100</v>
      </c>
      <c r="F155">
        <f t="shared" ca="1" si="23"/>
        <v>90</v>
      </c>
      <c r="G155" t="str">
        <f t="shared" ca="1" si="24"/>
        <v>None</v>
      </c>
      <c r="H155" t="str">
        <f t="shared" ca="1" si="25"/>
        <v>Yes</v>
      </c>
      <c r="I155" t="str">
        <f t="shared" ca="1" si="26"/>
        <v>No</v>
      </c>
      <c r="J155" t="str">
        <f t="shared" ca="1" si="27"/>
        <v>High</v>
      </c>
      <c r="K155" t="str">
        <f t="shared" ca="1" si="28"/>
        <v>Pass</v>
      </c>
      <c r="L155" s="4" t="str" cm="1">
        <f t="array" aca="1" ref="L155" ca="1">_xlfn.IFS(D155&gt;=85,"A", D155&gt;=70,"B", D155&gt;=50,"C", D155&lt;50,"D")</f>
        <v>C</v>
      </c>
      <c r="M155" t="str">
        <f t="shared" ca="1" si="29"/>
        <v>High</v>
      </c>
    </row>
    <row r="156" spans="1:13" x14ac:dyDescent="0.3">
      <c r="A156" t="s">
        <v>198</v>
      </c>
      <c r="B156" t="str">
        <f t="shared" ca="1" si="20"/>
        <v>10-A</v>
      </c>
      <c r="C156" t="str">
        <f t="shared" ca="1" si="21"/>
        <v>English</v>
      </c>
      <c r="D156">
        <f t="shared" ca="1" si="22"/>
        <v>49.9</v>
      </c>
      <c r="E156">
        <v>100</v>
      </c>
      <c r="F156">
        <f t="shared" ca="1" si="23"/>
        <v>99</v>
      </c>
      <c r="G156" t="str">
        <f t="shared" ca="1" si="24"/>
        <v>None</v>
      </c>
      <c r="H156" t="str">
        <f t="shared" ca="1" si="25"/>
        <v>No</v>
      </c>
      <c r="I156" t="str">
        <f t="shared" ca="1" si="26"/>
        <v>Yes</v>
      </c>
      <c r="J156" t="str">
        <f t="shared" ca="1" si="27"/>
        <v>Medium</v>
      </c>
      <c r="K156" t="str">
        <f t="shared" ca="1" si="28"/>
        <v>Pass</v>
      </c>
      <c r="L156" s="4" t="str" cm="1">
        <f t="array" aca="1" ref="L156" ca="1">_xlfn.IFS(D156&gt;=85,"A", D156&gt;=70,"B", D156&gt;=50,"C", D156&lt;50,"D")</f>
        <v>D</v>
      </c>
      <c r="M156" t="str">
        <f t="shared" ca="1" si="29"/>
        <v>High</v>
      </c>
    </row>
    <row r="157" spans="1:13" x14ac:dyDescent="0.3">
      <c r="A157" t="s">
        <v>199</v>
      </c>
      <c r="B157" t="str">
        <f t="shared" ca="1" si="20"/>
        <v>10-A</v>
      </c>
      <c r="C157" t="str">
        <f t="shared" ca="1" si="21"/>
        <v>Math</v>
      </c>
      <c r="D157">
        <f t="shared" ca="1" si="22"/>
        <v>83.5</v>
      </c>
      <c r="E157">
        <v>100</v>
      </c>
      <c r="F157">
        <f t="shared" ca="1" si="23"/>
        <v>55</v>
      </c>
      <c r="G157" t="str">
        <f t="shared" ca="1" si="24"/>
        <v>None</v>
      </c>
      <c r="H157" t="str">
        <f t="shared" ca="1" si="25"/>
        <v>Yes</v>
      </c>
      <c r="I157" t="str">
        <f t="shared" ca="1" si="26"/>
        <v>Yes</v>
      </c>
      <c r="J157" t="str">
        <f t="shared" ca="1" si="27"/>
        <v>Low</v>
      </c>
      <c r="K157" t="str">
        <f t="shared" ca="1" si="28"/>
        <v>Pass</v>
      </c>
      <c r="L157" s="4" t="str" cm="1">
        <f t="array" aca="1" ref="L157" ca="1">_xlfn.IFS(D157&gt;=85,"A", D157&gt;=70,"B", D157&gt;=50,"C", D157&lt;50,"D")</f>
        <v>B</v>
      </c>
      <c r="M157" t="str">
        <f t="shared" ca="1" si="29"/>
        <v>Low</v>
      </c>
    </row>
    <row r="158" spans="1:13" x14ac:dyDescent="0.3">
      <c r="A158" t="s">
        <v>200</v>
      </c>
      <c r="B158" t="str">
        <f t="shared" ca="1" si="20"/>
        <v>10-C</v>
      </c>
      <c r="C158" t="str">
        <f t="shared" ca="1" si="21"/>
        <v>Science</v>
      </c>
      <c r="D158">
        <f t="shared" ca="1" si="22"/>
        <v>44.4</v>
      </c>
      <c r="E158">
        <v>100</v>
      </c>
      <c r="F158">
        <f t="shared" ca="1" si="23"/>
        <v>94</v>
      </c>
      <c r="G158" t="str">
        <f t="shared" ca="1" si="24"/>
        <v>None</v>
      </c>
      <c r="H158" t="str">
        <f t="shared" ca="1" si="25"/>
        <v>Yes</v>
      </c>
      <c r="I158" t="str">
        <f t="shared" ca="1" si="26"/>
        <v>No</v>
      </c>
      <c r="J158" t="str">
        <f t="shared" ca="1" si="27"/>
        <v>Critical</v>
      </c>
      <c r="K158" t="str">
        <f t="shared" ca="1" si="28"/>
        <v>Pass</v>
      </c>
      <c r="L158" s="4" t="str" cm="1">
        <f t="array" aca="1" ref="L158" ca="1">_xlfn.IFS(D158&gt;=85,"A", D158&gt;=70,"B", D158&gt;=50,"C", D158&lt;50,"D")</f>
        <v>D</v>
      </c>
      <c r="M158" t="str">
        <f t="shared" ca="1" si="29"/>
        <v>High</v>
      </c>
    </row>
    <row r="159" spans="1:13" x14ac:dyDescent="0.3">
      <c r="A159" t="s">
        <v>201</v>
      </c>
      <c r="B159" t="str">
        <f t="shared" ca="1" si="20"/>
        <v>10-A</v>
      </c>
      <c r="C159" t="str">
        <f t="shared" ca="1" si="21"/>
        <v>English</v>
      </c>
      <c r="D159">
        <f t="shared" ca="1" si="22"/>
        <v>86.2</v>
      </c>
      <c r="E159">
        <v>100</v>
      </c>
      <c r="F159">
        <f t="shared" ca="1" si="23"/>
        <v>72</v>
      </c>
      <c r="G159" t="str">
        <f t="shared" ca="1" si="24"/>
        <v>None</v>
      </c>
      <c r="H159" t="str">
        <f t="shared" ca="1" si="25"/>
        <v>Yes</v>
      </c>
      <c r="I159" t="str">
        <f t="shared" ca="1" si="26"/>
        <v>Yes</v>
      </c>
      <c r="J159" t="str">
        <f t="shared" ca="1" si="27"/>
        <v>Low</v>
      </c>
      <c r="K159" t="str">
        <f t="shared" ca="1" si="28"/>
        <v>Pass</v>
      </c>
      <c r="L159" s="4" t="str" cm="1">
        <f t="array" aca="1" ref="L159" ca="1">_xlfn.IFS(D159&gt;=85,"A", D159&gt;=70,"B", D159&gt;=50,"C", D159&lt;50,"D")</f>
        <v>A</v>
      </c>
      <c r="M159" t="str">
        <f t="shared" ca="1" si="29"/>
        <v>Low</v>
      </c>
    </row>
    <row r="160" spans="1:13" x14ac:dyDescent="0.3">
      <c r="A160" t="s">
        <v>202</v>
      </c>
      <c r="B160" t="str">
        <f t="shared" ca="1" si="20"/>
        <v>10-B</v>
      </c>
      <c r="C160" t="str">
        <f t="shared" ca="1" si="21"/>
        <v>Science</v>
      </c>
      <c r="D160">
        <f t="shared" ca="1" si="22"/>
        <v>87.1</v>
      </c>
      <c r="E160">
        <v>100</v>
      </c>
      <c r="F160">
        <f t="shared" ca="1" si="23"/>
        <v>81</v>
      </c>
      <c r="G160" t="str">
        <f t="shared" ca="1" si="24"/>
        <v>None</v>
      </c>
      <c r="H160" t="str">
        <f t="shared" ca="1" si="25"/>
        <v>No</v>
      </c>
      <c r="I160" t="str">
        <f t="shared" ca="1" si="26"/>
        <v>Yes</v>
      </c>
      <c r="J160" t="str">
        <f t="shared" ca="1" si="27"/>
        <v>Low</v>
      </c>
      <c r="K160" t="str">
        <f t="shared" ca="1" si="28"/>
        <v>Pass</v>
      </c>
      <c r="L160" s="4" t="str" cm="1">
        <f t="array" aca="1" ref="L160" ca="1">_xlfn.IFS(D160&gt;=85,"A", D160&gt;=70,"B", D160&gt;=50,"C", D160&lt;50,"D")</f>
        <v>A</v>
      </c>
      <c r="M160" t="str">
        <f t="shared" ca="1" si="29"/>
        <v>Medium</v>
      </c>
    </row>
    <row r="161" spans="1:13" x14ac:dyDescent="0.3">
      <c r="A161" t="s">
        <v>203</v>
      </c>
      <c r="B161" t="str">
        <f t="shared" ca="1" si="20"/>
        <v>10-B</v>
      </c>
      <c r="C161" t="str">
        <f t="shared" ca="1" si="21"/>
        <v>English</v>
      </c>
      <c r="D161">
        <f t="shared" ca="1" si="22"/>
        <v>69.400000000000006</v>
      </c>
      <c r="E161">
        <v>100</v>
      </c>
      <c r="F161">
        <f t="shared" ca="1" si="23"/>
        <v>94</v>
      </c>
      <c r="G161" t="str">
        <f t="shared" ca="1" si="24"/>
        <v>Completed</v>
      </c>
      <c r="H161" t="str">
        <f t="shared" ca="1" si="25"/>
        <v>Yes</v>
      </c>
      <c r="I161" t="str">
        <f t="shared" ca="1" si="26"/>
        <v>Yes</v>
      </c>
      <c r="J161" t="str">
        <f t="shared" ca="1" si="27"/>
        <v>Low</v>
      </c>
      <c r="K161" t="str">
        <f t="shared" ca="1" si="28"/>
        <v>Pass</v>
      </c>
      <c r="L161" s="4" t="str" cm="1">
        <f t="array" aca="1" ref="L161" ca="1">_xlfn.IFS(D161&gt;=85,"A", D161&gt;=70,"B", D161&gt;=50,"C", D161&lt;50,"D")</f>
        <v>C</v>
      </c>
      <c r="M161" t="str">
        <f t="shared" ca="1" si="29"/>
        <v>High</v>
      </c>
    </row>
    <row r="162" spans="1:13" x14ac:dyDescent="0.3">
      <c r="A162" t="s">
        <v>204</v>
      </c>
      <c r="B162" t="str">
        <f t="shared" ca="1" si="20"/>
        <v>10-B</v>
      </c>
      <c r="C162" t="str">
        <f t="shared" ca="1" si="21"/>
        <v>Math</v>
      </c>
      <c r="D162">
        <f t="shared" ca="1" si="22"/>
        <v>47.7</v>
      </c>
      <c r="E162">
        <v>100</v>
      </c>
      <c r="F162">
        <f t="shared" ca="1" si="23"/>
        <v>57</v>
      </c>
      <c r="G162" t="str">
        <f t="shared" ca="1" si="24"/>
        <v>None</v>
      </c>
      <c r="H162" t="str">
        <f t="shared" ca="1" si="25"/>
        <v>Yes</v>
      </c>
      <c r="I162" t="str">
        <f t="shared" ca="1" si="26"/>
        <v>No</v>
      </c>
      <c r="J162" t="str">
        <f t="shared" ca="1" si="27"/>
        <v>Critical</v>
      </c>
      <c r="K162" t="str">
        <f t="shared" ca="1" si="28"/>
        <v>Pass</v>
      </c>
      <c r="L162" s="4" t="str" cm="1">
        <f t="array" aca="1" ref="L162" ca="1">_xlfn.IFS(D162&gt;=85,"A", D162&gt;=70,"B", D162&gt;=50,"C", D162&lt;50,"D")</f>
        <v>D</v>
      </c>
      <c r="M162" t="str">
        <f t="shared" ca="1" si="29"/>
        <v>Low</v>
      </c>
    </row>
    <row r="163" spans="1:13" x14ac:dyDescent="0.3">
      <c r="A163" t="s">
        <v>205</v>
      </c>
      <c r="B163" t="str">
        <f t="shared" ca="1" si="20"/>
        <v>10-A</v>
      </c>
      <c r="C163" t="str">
        <f t="shared" ca="1" si="21"/>
        <v>Math</v>
      </c>
      <c r="D163">
        <f t="shared" ca="1" si="22"/>
        <v>83</v>
      </c>
      <c r="E163">
        <v>100</v>
      </c>
      <c r="F163">
        <f t="shared" ca="1" si="23"/>
        <v>70</v>
      </c>
      <c r="G163" t="str">
        <f t="shared" ca="1" si="24"/>
        <v>None</v>
      </c>
      <c r="H163" t="str">
        <f t="shared" ca="1" si="25"/>
        <v>Yes</v>
      </c>
      <c r="I163" t="str">
        <f t="shared" ca="1" si="26"/>
        <v>No</v>
      </c>
      <c r="J163" t="str">
        <f t="shared" ca="1" si="27"/>
        <v>High</v>
      </c>
      <c r="K163" t="str">
        <f t="shared" ca="1" si="28"/>
        <v>Pass</v>
      </c>
      <c r="L163" s="4" t="str" cm="1">
        <f t="array" aca="1" ref="L163" ca="1">_xlfn.IFS(D163&gt;=85,"A", D163&gt;=70,"B", D163&gt;=50,"C", D163&lt;50,"D")</f>
        <v>B</v>
      </c>
      <c r="M163" t="str">
        <f t="shared" ca="1" si="29"/>
        <v>Low</v>
      </c>
    </row>
    <row r="164" spans="1:13" x14ac:dyDescent="0.3">
      <c r="A164" t="s">
        <v>206</v>
      </c>
      <c r="B164" t="str">
        <f t="shared" ca="1" si="20"/>
        <v>10-C</v>
      </c>
      <c r="C164" t="str">
        <f t="shared" ca="1" si="21"/>
        <v>Science</v>
      </c>
      <c r="D164">
        <f t="shared" ca="1" si="22"/>
        <v>43.1</v>
      </c>
      <c r="E164">
        <v>100</v>
      </c>
      <c r="F164">
        <f t="shared" ca="1" si="23"/>
        <v>91</v>
      </c>
      <c r="G164" t="str">
        <f t="shared" ca="1" si="24"/>
        <v>Completed</v>
      </c>
      <c r="H164" t="str">
        <f t="shared" ca="1" si="25"/>
        <v>No</v>
      </c>
      <c r="I164" t="str">
        <f t="shared" ca="1" si="26"/>
        <v>Yes</v>
      </c>
      <c r="J164" t="str">
        <f t="shared" ca="1" si="27"/>
        <v>Medium</v>
      </c>
      <c r="K164" t="str">
        <f t="shared" ca="1" si="28"/>
        <v>Pass</v>
      </c>
      <c r="L164" s="4" t="str" cm="1">
        <f t="array" aca="1" ref="L164" ca="1">_xlfn.IFS(D164&gt;=85,"A", D164&gt;=70,"B", D164&gt;=50,"C", D164&lt;50,"D")</f>
        <v>D</v>
      </c>
      <c r="M164" t="str">
        <f t="shared" ca="1" si="29"/>
        <v>High</v>
      </c>
    </row>
    <row r="165" spans="1:13" x14ac:dyDescent="0.3">
      <c r="A165" t="s">
        <v>207</v>
      </c>
      <c r="B165" t="str">
        <f t="shared" ca="1" si="20"/>
        <v>10-B</v>
      </c>
      <c r="C165" t="str">
        <f t="shared" ca="1" si="21"/>
        <v>Math</v>
      </c>
      <c r="D165">
        <f t="shared" ca="1" si="22"/>
        <v>69.900000000000006</v>
      </c>
      <c r="E165">
        <v>100</v>
      </c>
      <c r="F165">
        <f t="shared" ca="1" si="23"/>
        <v>59</v>
      </c>
      <c r="G165" t="str">
        <f t="shared" ca="1" si="24"/>
        <v>None</v>
      </c>
      <c r="H165" t="str">
        <f t="shared" ca="1" si="25"/>
        <v>Yes</v>
      </c>
      <c r="I165" t="str">
        <f t="shared" ca="1" si="26"/>
        <v>No</v>
      </c>
      <c r="J165" t="str">
        <f t="shared" ca="1" si="27"/>
        <v>High</v>
      </c>
      <c r="K165" t="str">
        <f t="shared" ca="1" si="28"/>
        <v>Pass</v>
      </c>
      <c r="L165" s="4" t="str" cm="1">
        <f t="array" aca="1" ref="L165" ca="1">_xlfn.IFS(D165&gt;=85,"A", D165&gt;=70,"B", D165&gt;=50,"C", D165&lt;50,"D")</f>
        <v>C</v>
      </c>
      <c r="M165" t="str">
        <f t="shared" ca="1" si="29"/>
        <v>Low</v>
      </c>
    </row>
    <row r="166" spans="1:13" x14ac:dyDescent="0.3">
      <c r="A166" t="s">
        <v>208</v>
      </c>
      <c r="B166" t="str">
        <f t="shared" ca="1" si="20"/>
        <v>10-C</v>
      </c>
      <c r="C166" t="str">
        <f t="shared" ca="1" si="21"/>
        <v>Science</v>
      </c>
      <c r="D166">
        <f t="shared" ca="1" si="22"/>
        <v>54.6</v>
      </c>
      <c r="E166">
        <v>100</v>
      </c>
      <c r="F166">
        <f t="shared" ca="1" si="23"/>
        <v>56</v>
      </c>
      <c r="G166" t="str">
        <f t="shared" ca="1" si="24"/>
        <v>Completed</v>
      </c>
      <c r="H166" t="str">
        <f t="shared" ca="1" si="25"/>
        <v>Yes</v>
      </c>
      <c r="I166" t="str">
        <f t="shared" ca="1" si="26"/>
        <v>Yes</v>
      </c>
      <c r="J166" t="str">
        <f t="shared" ca="1" si="27"/>
        <v>Low</v>
      </c>
      <c r="K166" t="str">
        <f t="shared" ca="1" si="28"/>
        <v>Pass</v>
      </c>
      <c r="L166" s="4" t="str" cm="1">
        <f t="array" aca="1" ref="L166" ca="1">_xlfn.IFS(D166&gt;=85,"A", D166&gt;=70,"B", D166&gt;=50,"C", D166&lt;50,"D")</f>
        <v>C</v>
      </c>
      <c r="M166" t="str">
        <f t="shared" ca="1" si="29"/>
        <v>Low</v>
      </c>
    </row>
    <row r="167" spans="1:13" x14ac:dyDescent="0.3">
      <c r="A167" t="s">
        <v>209</v>
      </c>
      <c r="B167" t="str">
        <f t="shared" ca="1" si="20"/>
        <v>10-A</v>
      </c>
      <c r="C167" t="str">
        <f t="shared" ca="1" si="21"/>
        <v>Math</v>
      </c>
      <c r="D167">
        <f t="shared" ca="1" si="22"/>
        <v>47.9</v>
      </c>
      <c r="E167">
        <v>100</v>
      </c>
      <c r="F167">
        <f t="shared" ca="1" si="23"/>
        <v>59</v>
      </c>
      <c r="G167" t="str">
        <f t="shared" ca="1" si="24"/>
        <v>None</v>
      </c>
      <c r="H167" t="str">
        <f t="shared" ca="1" si="25"/>
        <v>Yes</v>
      </c>
      <c r="I167" t="str">
        <f t="shared" ca="1" si="26"/>
        <v>No</v>
      </c>
      <c r="J167" t="str">
        <f t="shared" ca="1" si="27"/>
        <v>Critical</v>
      </c>
      <c r="K167" t="str">
        <f t="shared" ca="1" si="28"/>
        <v>Pass</v>
      </c>
      <c r="L167" s="4" t="str" cm="1">
        <f t="array" aca="1" ref="L167" ca="1">_xlfn.IFS(D167&gt;=85,"A", D167&gt;=70,"B", D167&gt;=50,"C", D167&lt;50,"D")</f>
        <v>D</v>
      </c>
      <c r="M167" t="str">
        <f t="shared" ca="1" si="29"/>
        <v>Low</v>
      </c>
    </row>
    <row r="168" spans="1:13" x14ac:dyDescent="0.3">
      <c r="A168" t="s">
        <v>210</v>
      </c>
      <c r="B168" t="str">
        <f t="shared" ca="1" si="20"/>
        <v>10-A</v>
      </c>
      <c r="C168" t="str">
        <f t="shared" ca="1" si="21"/>
        <v>Science</v>
      </c>
      <c r="D168">
        <f t="shared" ca="1" si="22"/>
        <v>45.6</v>
      </c>
      <c r="E168">
        <v>100</v>
      </c>
      <c r="F168">
        <f t="shared" ca="1" si="23"/>
        <v>96</v>
      </c>
      <c r="G168" t="str">
        <f t="shared" ca="1" si="24"/>
        <v>Completed</v>
      </c>
      <c r="H168" t="str">
        <f t="shared" ca="1" si="25"/>
        <v>Yes</v>
      </c>
      <c r="I168" t="str">
        <f t="shared" ca="1" si="26"/>
        <v>Yes</v>
      </c>
      <c r="J168" t="str">
        <f t="shared" ca="1" si="27"/>
        <v>Medium</v>
      </c>
      <c r="K168" t="str">
        <f t="shared" ca="1" si="28"/>
        <v>Pass</v>
      </c>
      <c r="L168" s="4" t="str" cm="1">
        <f t="array" aca="1" ref="L168" ca="1">_xlfn.IFS(D168&gt;=85,"A", D168&gt;=70,"B", D168&gt;=50,"C", D168&lt;50,"D")</f>
        <v>D</v>
      </c>
      <c r="M168" t="str">
        <f t="shared" ca="1" si="29"/>
        <v>High</v>
      </c>
    </row>
    <row r="169" spans="1:13" x14ac:dyDescent="0.3">
      <c r="A169" t="s">
        <v>211</v>
      </c>
      <c r="B169" t="str">
        <f t="shared" ca="1" si="20"/>
        <v>10-B</v>
      </c>
      <c r="C169" t="str">
        <f t="shared" ca="1" si="21"/>
        <v>Math</v>
      </c>
      <c r="D169">
        <f t="shared" ca="1" si="22"/>
        <v>82.6</v>
      </c>
      <c r="E169">
        <v>100</v>
      </c>
      <c r="F169">
        <f t="shared" ca="1" si="23"/>
        <v>86</v>
      </c>
      <c r="G169" t="str">
        <f t="shared" ca="1" si="24"/>
        <v>None</v>
      </c>
      <c r="H169" t="str">
        <f t="shared" ca="1" si="25"/>
        <v>Yes</v>
      </c>
      <c r="I169" t="str">
        <f t="shared" ca="1" si="26"/>
        <v>Yes</v>
      </c>
      <c r="J169" t="str">
        <f t="shared" ca="1" si="27"/>
        <v>Low</v>
      </c>
      <c r="K169" t="str">
        <f t="shared" ca="1" si="28"/>
        <v>Pass</v>
      </c>
      <c r="L169" s="4" t="str" cm="1">
        <f t="array" aca="1" ref="L169" ca="1">_xlfn.IFS(D169&gt;=85,"A", D169&gt;=70,"B", D169&gt;=50,"C", D169&lt;50,"D")</f>
        <v>B</v>
      </c>
      <c r="M169" t="str">
        <f t="shared" ca="1" si="29"/>
        <v>High</v>
      </c>
    </row>
    <row r="170" spans="1:13" x14ac:dyDescent="0.3">
      <c r="A170" t="s">
        <v>212</v>
      </c>
      <c r="B170" t="str">
        <f t="shared" ca="1" si="20"/>
        <v>10-A</v>
      </c>
      <c r="C170" t="str">
        <f t="shared" ca="1" si="21"/>
        <v>English</v>
      </c>
      <c r="D170">
        <f t="shared" ca="1" si="22"/>
        <v>85.1</v>
      </c>
      <c r="E170">
        <v>100</v>
      </c>
      <c r="F170">
        <f t="shared" ca="1" si="23"/>
        <v>71</v>
      </c>
      <c r="G170" t="str">
        <f t="shared" ca="1" si="24"/>
        <v>None</v>
      </c>
      <c r="H170" t="str">
        <f t="shared" ca="1" si="25"/>
        <v>Yes</v>
      </c>
      <c r="I170" t="str">
        <f t="shared" ca="1" si="26"/>
        <v>Yes</v>
      </c>
      <c r="J170" t="str">
        <f t="shared" ca="1" si="27"/>
        <v>Low</v>
      </c>
      <c r="K170" t="str">
        <f t="shared" ca="1" si="28"/>
        <v>Pass</v>
      </c>
      <c r="L170" s="4" t="str" cm="1">
        <f t="array" aca="1" ref="L170" ca="1">_xlfn.IFS(D170&gt;=85,"A", D170&gt;=70,"B", D170&gt;=50,"C", D170&lt;50,"D")</f>
        <v>A</v>
      </c>
      <c r="M170" t="str">
        <f t="shared" ca="1" si="29"/>
        <v>Low</v>
      </c>
    </row>
    <row r="171" spans="1:13" x14ac:dyDescent="0.3">
      <c r="A171" t="s">
        <v>213</v>
      </c>
      <c r="B171" t="str">
        <f t="shared" ca="1" si="20"/>
        <v>10-C</v>
      </c>
      <c r="C171" t="str">
        <f t="shared" ca="1" si="21"/>
        <v>Math</v>
      </c>
      <c r="D171">
        <f t="shared" ca="1" si="22"/>
        <v>63.5</v>
      </c>
      <c r="E171">
        <v>100</v>
      </c>
      <c r="F171">
        <f t="shared" ca="1" si="23"/>
        <v>85</v>
      </c>
      <c r="G171" t="str">
        <f t="shared" ca="1" si="24"/>
        <v>None</v>
      </c>
      <c r="H171" t="str">
        <f t="shared" ca="1" si="25"/>
        <v>Yes</v>
      </c>
      <c r="I171" t="str">
        <f t="shared" ca="1" si="26"/>
        <v>No</v>
      </c>
      <c r="J171" t="str">
        <f t="shared" ca="1" si="27"/>
        <v>High</v>
      </c>
      <c r="K171" t="str">
        <f t="shared" ca="1" si="28"/>
        <v>Pass</v>
      </c>
      <c r="L171" s="4" t="str" cm="1">
        <f t="array" aca="1" ref="L171" ca="1">_xlfn.IFS(D171&gt;=85,"A", D171&gt;=70,"B", D171&gt;=50,"C", D171&lt;50,"D")</f>
        <v>C</v>
      </c>
      <c r="M171" t="str">
        <f t="shared" ca="1" si="29"/>
        <v>High</v>
      </c>
    </row>
    <row r="172" spans="1:13" x14ac:dyDescent="0.3">
      <c r="A172" t="s">
        <v>214</v>
      </c>
      <c r="B172" t="str">
        <f t="shared" ca="1" si="20"/>
        <v>10-A</v>
      </c>
      <c r="C172" t="str">
        <f t="shared" ca="1" si="21"/>
        <v>Science</v>
      </c>
      <c r="D172">
        <f t="shared" ca="1" si="22"/>
        <v>70.099999999999994</v>
      </c>
      <c r="E172">
        <v>100</v>
      </c>
      <c r="F172">
        <f t="shared" ca="1" si="23"/>
        <v>81</v>
      </c>
      <c r="G172" t="str">
        <f t="shared" ca="1" si="24"/>
        <v>None</v>
      </c>
      <c r="H172" t="str">
        <f t="shared" ca="1" si="25"/>
        <v>No</v>
      </c>
      <c r="I172" t="str">
        <f t="shared" ca="1" si="26"/>
        <v>No</v>
      </c>
      <c r="J172" t="str">
        <f t="shared" ca="1" si="27"/>
        <v>High</v>
      </c>
      <c r="K172" t="str">
        <f t="shared" ca="1" si="28"/>
        <v>Pass</v>
      </c>
      <c r="L172" s="4" t="str" cm="1">
        <f t="array" aca="1" ref="L172" ca="1">_xlfn.IFS(D172&gt;=85,"A", D172&gt;=70,"B", D172&gt;=50,"C", D172&lt;50,"D")</f>
        <v>B</v>
      </c>
      <c r="M172" t="str">
        <f t="shared" ca="1" si="29"/>
        <v>Medium</v>
      </c>
    </row>
    <row r="173" spans="1:13" x14ac:dyDescent="0.3">
      <c r="A173" t="s">
        <v>215</v>
      </c>
      <c r="B173" t="str">
        <f t="shared" ca="1" si="20"/>
        <v>10-B</v>
      </c>
      <c r="C173" t="str">
        <f t="shared" ca="1" si="21"/>
        <v>English</v>
      </c>
      <c r="D173">
        <f t="shared" ca="1" si="22"/>
        <v>51.4</v>
      </c>
      <c r="E173">
        <v>100</v>
      </c>
      <c r="F173">
        <f t="shared" ca="1" si="23"/>
        <v>64</v>
      </c>
      <c r="G173" t="str">
        <f t="shared" ca="1" si="24"/>
        <v>None</v>
      </c>
      <c r="H173" t="str">
        <f t="shared" ca="1" si="25"/>
        <v>Yes</v>
      </c>
      <c r="I173" t="str">
        <f t="shared" ca="1" si="26"/>
        <v>No</v>
      </c>
      <c r="J173" t="str">
        <f t="shared" ca="1" si="27"/>
        <v>High</v>
      </c>
      <c r="K173" t="str">
        <f t="shared" ca="1" si="28"/>
        <v>Pass</v>
      </c>
      <c r="L173" s="4" t="str" cm="1">
        <f t="array" aca="1" ref="L173" ca="1">_xlfn.IFS(D173&gt;=85,"A", D173&gt;=70,"B", D173&gt;=50,"C", D173&lt;50,"D")</f>
        <v>C</v>
      </c>
      <c r="M173" t="str">
        <f t="shared" ca="1" si="29"/>
        <v>Low</v>
      </c>
    </row>
    <row r="174" spans="1:13" x14ac:dyDescent="0.3">
      <c r="A174" t="s">
        <v>216</v>
      </c>
      <c r="B174" t="str">
        <f t="shared" ca="1" si="20"/>
        <v>10-A</v>
      </c>
      <c r="C174" t="str">
        <f t="shared" ca="1" si="21"/>
        <v>Math</v>
      </c>
      <c r="D174">
        <f t="shared" ca="1" si="22"/>
        <v>64</v>
      </c>
      <c r="E174">
        <v>100</v>
      </c>
      <c r="F174">
        <f t="shared" ca="1" si="23"/>
        <v>70</v>
      </c>
      <c r="G174" t="str">
        <f t="shared" ca="1" si="24"/>
        <v>None</v>
      </c>
      <c r="H174" t="str">
        <f t="shared" ca="1" si="25"/>
        <v>Yes</v>
      </c>
      <c r="I174" t="str">
        <f t="shared" ca="1" si="26"/>
        <v>Yes</v>
      </c>
      <c r="J174" t="str">
        <f t="shared" ca="1" si="27"/>
        <v>Low</v>
      </c>
      <c r="K174" t="str">
        <f t="shared" ca="1" si="28"/>
        <v>Pass</v>
      </c>
      <c r="L174" s="4" t="str" cm="1">
        <f t="array" aca="1" ref="L174" ca="1">_xlfn.IFS(D174&gt;=85,"A", D174&gt;=70,"B", D174&gt;=50,"C", D174&lt;50,"D")</f>
        <v>C</v>
      </c>
      <c r="M174" t="str">
        <f t="shared" ca="1" si="29"/>
        <v>Low</v>
      </c>
    </row>
    <row r="175" spans="1:13" x14ac:dyDescent="0.3">
      <c r="A175" t="s">
        <v>217</v>
      </c>
      <c r="B175" t="str">
        <f t="shared" ca="1" si="20"/>
        <v>10-C</v>
      </c>
      <c r="C175" t="str">
        <f t="shared" ca="1" si="21"/>
        <v>Math</v>
      </c>
      <c r="D175">
        <f t="shared" ca="1" si="22"/>
        <v>60.3</v>
      </c>
      <c r="E175">
        <v>100</v>
      </c>
      <c r="F175">
        <f t="shared" ca="1" si="23"/>
        <v>73</v>
      </c>
      <c r="G175" t="str">
        <f t="shared" ca="1" si="24"/>
        <v>None</v>
      </c>
      <c r="H175" t="str">
        <f t="shared" ca="1" si="25"/>
        <v>Yes</v>
      </c>
      <c r="I175" t="str">
        <f t="shared" ca="1" si="26"/>
        <v>Yes</v>
      </c>
      <c r="J175" t="str">
        <f t="shared" ca="1" si="27"/>
        <v>Low</v>
      </c>
      <c r="K175" t="str">
        <f t="shared" ca="1" si="28"/>
        <v>Pass</v>
      </c>
      <c r="L175" s="4" t="str" cm="1">
        <f t="array" aca="1" ref="L175" ca="1">_xlfn.IFS(D175&gt;=85,"A", D175&gt;=70,"B", D175&gt;=50,"C", D175&lt;50,"D")</f>
        <v>C</v>
      </c>
      <c r="M175" t="str">
        <f t="shared" ca="1" si="29"/>
        <v>Low</v>
      </c>
    </row>
    <row r="176" spans="1:13" x14ac:dyDescent="0.3">
      <c r="A176" t="s">
        <v>218</v>
      </c>
      <c r="B176" t="str">
        <f t="shared" ca="1" si="20"/>
        <v>10-C</v>
      </c>
      <c r="C176" t="str">
        <f t="shared" ca="1" si="21"/>
        <v>English</v>
      </c>
      <c r="D176">
        <f t="shared" ca="1" si="22"/>
        <v>55.8</v>
      </c>
      <c r="E176">
        <v>100</v>
      </c>
      <c r="F176">
        <f t="shared" ca="1" si="23"/>
        <v>58</v>
      </c>
      <c r="G176" t="str">
        <f t="shared" ca="1" si="24"/>
        <v>Completed</v>
      </c>
      <c r="H176" t="str">
        <f t="shared" ca="1" si="25"/>
        <v>Yes</v>
      </c>
      <c r="I176" t="str">
        <f t="shared" ca="1" si="26"/>
        <v>Yes</v>
      </c>
      <c r="J176" t="str">
        <f t="shared" ca="1" si="27"/>
        <v>Low</v>
      </c>
      <c r="K176" t="str">
        <f t="shared" ca="1" si="28"/>
        <v>Pass</v>
      </c>
      <c r="L176" s="4" t="str" cm="1">
        <f t="array" aca="1" ref="L176" ca="1">_xlfn.IFS(D176&gt;=85,"A", D176&gt;=70,"B", D176&gt;=50,"C", D176&lt;50,"D")</f>
        <v>C</v>
      </c>
      <c r="M176" t="str">
        <f t="shared" ca="1" si="29"/>
        <v>Low</v>
      </c>
    </row>
    <row r="177" spans="1:13" x14ac:dyDescent="0.3">
      <c r="A177" t="s">
        <v>219</v>
      </c>
      <c r="B177" t="str">
        <f t="shared" ca="1" si="20"/>
        <v>10-A</v>
      </c>
      <c r="C177" t="str">
        <f t="shared" ca="1" si="21"/>
        <v>Science</v>
      </c>
      <c r="D177">
        <f t="shared" ca="1" si="22"/>
        <v>45.1</v>
      </c>
      <c r="E177">
        <v>100</v>
      </c>
      <c r="F177">
        <f t="shared" ca="1" si="23"/>
        <v>71</v>
      </c>
      <c r="G177" t="str">
        <f t="shared" ca="1" si="24"/>
        <v>Completed</v>
      </c>
      <c r="H177" t="str">
        <f t="shared" ca="1" si="25"/>
        <v>Yes</v>
      </c>
      <c r="I177" t="str">
        <f t="shared" ca="1" si="26"/>
        <v>No</v>
      </c>
      <c r="J177" t="str">
        <f t="shared" ca="1" si="27"/>
        <v>Critical</v>
      </c>
      <c r="K177" t="str">
        <f t="shared" ca="1" si="28"/>
        <v>Pass</v>
      </c>
      <c r="L177" s="4" t="str" cm="1">
        <f t="array" aca="1" ref="L177" ca="1">_xlfn.IFS(D177&gt;=85,"A", D177&gt;=70,"B", D177&gt;=50,"C", D177&lt;50,"D")</f>
        <v>D</v>
      </c>
      <c r="M177" t="str">
        <f t="shared" ca="1" si="29"/>
        <v>Low</v>
      </c>
    </row>
    <row r="178" spans="1:13" x14ac:dyDescent="0.3">
      <c r="A178" t="s">
        <v>220</v>
      </c>
      <c r="B178" t="str">
        <f t="shared" ca="1" si="20"/>
        <v>10-B</v>
      </c>
      <c r="C178" t="str">
        <f t="shared" ca="1" si="21"/>
        <v>English</v>
      </c>
      <c r="D178">
        <f t="shared" ca="1" si="22"/>
        <v>43.6</v>
      </c>
      <c r="E178">
        <v>100</v>
      </c>
      <c r="F178">
        <f t="shared" ca="1" si="23"/>
        <v>56</v>
      </c>
      <c r="G178" t="str">
        <f t="shared" ca="1" si="24"/>
        <v>Completed</v>
      </c>
      <c r="H178" t="str">
        <f t="shared" ca="1" si="25"/>
        <v>No</v>
      </c>
      <c r="I178" t="str">
        <f t="shared" ca="1" si="26"/>
        <v>No</v>
      </c>
      <c r="J178" t="str">
        <f t="shared" ca="1" si="27"/>
        <v>Critical</v>
      </c>
      <c r="K178" t="str">
        <f t="shared" ca="1" si="28"/>
        <v>Pass</v>
      </c>
      <c r="L178" s="4" t="str" cm="1">
        <f t="array" aca="1" ref="L178" ca="1">_xlfn.IFS(D178&gt;=85,"A", D178&gt;=70,"B", D178&gt;=50,"C", D178&lt;50,"D")</f>
        <v>D</v>
      </c>
      <c r="M178" t="str">
        <f t="shared" ca="1" si="29"/>
        <v>Low</v>
      </c>
    </row>
    <row r="179" spans="1:13" x14ac:dyDescent="0.3">
      <c r="A179" t="s">
        <v>221</v>
      </c>
      <c r="B179" t="str">
        <f t="shared" ca="1" si="20"/>
        <v>10-A</v>
      </c>
      <c r="C179" t="str">
        <f t="shared" ca="1" si="21"/>
        <v>English</v>
      </c>
      <c r="D179">
        <f t="shared" ca="1" si="22"/>
        <v>65.5</v>
      </c>
      <c r="E179">
        <v>100</v>
      </c>
      <c r="F179">
        <f t="shared" ca="1" si="23"/>
        <v>45</v>
      </c>
      <c r="G179" t="str">
        <f t="shared" ca="1" si="24"/>
        <v>Completed</v>
      </c>
      <c r="H179" t="str">
        <f t="shared" ca="1" si="25"/>
        <v>No</v>
      </c>
      <c r="I179" t="str">
        <f t="shared" ca="1" si="26"/>
        <v>Yes</v>
      </c>
      <c r="J179" t="str">
        <f t="shared" ca="1" si="27"/>
        <v>Low</v>
      </c>
      <c r="K179" t="str">
        <f t="shared" ca="1" si="28"/>
        <v>Pass</v>
      </c>
      <c r="L179" s="4" t="str" cm="1">
        <f t="array" aca="1" ref="L179" ca="1">_xlfn.IFS(D179&gt;=85,"A", D179&gt;=70,"B", D179&gt;=50,"C", D179&lt;50,"D")</f>
        <v>C</v>
      </c>
      <c r="M179" t="str">
        <f t="shared" ca="1" si="29"/>
        <v>Low</v>
      </c>
    </row>
    <row r="180" spans="1:13" x14ac:dyDescent="0.3">
      <c r="A180" t="s">
        <v>222</v>
      </c>
      <c r="B180" t="str">
        <f t="shared" ca="1" si="20"/>
        <v>10-B</v>
      </c>
      <c r="C180" t="str">
        <f t="shared" ca="1" si="21"/>
        <v>Science</v>
      </c>
      <c r="D180">
        <f t="shared" ca="1" si="22"/>
        <v>41.5</v>
      </c>
      <c r="E180">
        <v>100</v>
      </c>
      <c r="F180">
        <f t="shared" ca="1" si="23"/>
        <v>45</v>
      </c>
      <c r="G180" t="str">
        <f t="shared" ca="1" si="24"/>
        <v>Completed</v>
      </c>
      <c r="H180" t="str">
        <f t="shared" ca="1" si="25"/>
        <v>No</v>
      </c>
      <c r="I180" t="str">
        <f t="shared" ca="1" si="26"/>
        <v>Yes</v>
      </c>
      <c r="J180" t="str">
        <f t="shared" ca="1" si="27"/>
        <v>Medium</v>
      </c>
      <c r="K180" t="str">
        <f t="shared" ca="1" si="28"/>
        <v>Pass</v>
      </c>
      <c r="L180" s="4" t="str" cm="1">
        <f t="array" aca="1" ref="L180" ca="1">_xlfn.IFS(D180&gt;=85,"A", D180&gt;=70,"B", D180&gt;=50,"C", D180&lt;50,"D")</f>
        <v>D</v>
      </c>
      <c r="M180" t="str">
        <f t="shared" ca="1" si="29"/>
        <v>Low</v>
      </c>
    </row>
    <row r="181" spans="1:13" x14ac:dyDescent="0.3">
      <c r="A181" t="s">
        <v>223</v>
      </c>
      <c r="B181" t="str">
        <f t="shared" ca="1" si="20"/>
        <v>10-C</v>
      </c>
      <c r="C181" t="str">
        <f t="shared" ca="1" si="21"/>
        <v>English</v>
      </c>
      <c r="D181">
        <f t="shared" ca="1" si="22"/>
        <v>63.2</v>
      </c>
      <c r="E181">
        <v>100</v>
      </c>
      <c r="F181">
        <f t="shared" ca="1" si="23"/>
        <v>82</v>
      </c>
      <c r="G181" t="str">
        <f t="shared" ca="1" si="24"/>
        <v>Completed</v>
      </c>
      <c r="H181" t="str">
        <f t="shared" ca="1" si="25"/>
        <v>No</v>
      </c>
      <c r="I181" t="str">
        <f t="shared" ca="1" si="26"/>
        <v>Yes</v>
      </c>
      <c r="J181" t="str">
        <f t="shared" ca="1" si="27"/>
        <v>Low</v>
      </c>
      <c r="K181" t="str">
        <f t="shared" ca="1" si="28"/>
        <v>Pass</v>
      </c>
      <c r="L181" s="4" t="str" cm="1">
        <f t="array" aca="1" ref="L181" ca="1">_xlfn.IFS(D181&gt;=85,"A", D181&gt;=70,"B", D181&gt;=50,"C", D181&lt;50,"D")</f>
        <v>C</v>
      </c>
      <c r="M181" t="str">
        <f t="shared" ca="1" si="29"/>
        <v>Medium</v>
      </c>
    </row>
    <row r="182" spans="1:13" x14ac:dyDescent="0.3">
      <c r="A182" t="s">
        <v>224</v>
      </c>
      <c r="B182" t="str">
        <f t="shared" ca="1" si="20"/>
        <v>10-C</v>
      </c>
      <c r="C182" t="str">
        <f t="shared" ca="1" si="21"/>
        <v>English</v>
      </c>
      <c r="D182">
        <f t="shared" ca="1" si="22"/>
        <v>36</v>
      </c>
      <c r="E182">
        <v>100</v>
      </c>
      <c r="F182">
        <f t="shared" ca="1" si="23"/>
        <v>50</v>
      </c>
      <c r="G182" t="str">
        <f t="shared" ca="1" si="24"/>
        <v>None</v>
      </c>
      <c r="H182" t="str">
        <f t="shared" ca="1" si="25"/>
        <v>Yes</v>
      </c>
      <c r="I182" t="str">
        <f t="shared" ca="1" si="26"/>
        <v>Yes</v>
      </c>
      <c r="J182" t="str">
        <f t="shared" ca="1" si="27"/>
        <v>Medium</v>
      </c>
      <c r="K182" t="str">
        <f t="shared" ca="1" si="28"/>
        <v>Fail</v>
      </c>
      <c r="L182" s="4" t="str" cm="1">
        <f t="array" aca="1" ref="L182" ca="1">_xlfn.IFS(D182&gt;=85,"A", D182&gt;=70,"B", D182&gt;=50,"C", D182&lt;50,"D")</f>
        <v>D</v>
      </c>
      <c r="M182" t="str">
        <f t="shared" ca="1" si="29"/>
        <v>Low</v>
      </c>
    </row>
    <row r="183" spans="1:13" x14ac:dyDescent="0.3">
      <c r="A183" t="s">
        <v>225</v>
      </c>
      <c r="B183" t="str">
        <f t="shared" ca="1" si="20"/>
        <v>10-B</v>
      </c>
      <c r="C183" t="str">
        <f t="shared" ca="1" si="21"/>
        <v>English</v>
      </c>
      <c r="D183">
        <f t="shared" ca="1" si="22"/>
        <v>69.3</v>
      </c>
      <c r="E183">
        <v>100</v>
      </c>
      <c r="F183">
        <f t="shared" ca="1" si="23"/>
        <v>63</v>
      </c>
      <c r="G183" t="str">
        <f t="shared" ca="1" si="24"/>
        <v>None</v>
      </c>
      <c r="H183" t="str">
        <f t="shared" ca="1" si="25"/>
        <v>Yes</v>
      </c>
      <c r="I183" t="str">
        <f t="shared" ca="1" si="26"/>
        <v>Yes</v>
      </c>
      <c r="J183" t="str">
        <f t="shared" ca="1" si="27"/>
        <v>Low</v>
      </c>
      <c r="K183" t="str">
        <f t="shared" ca="1" si="28"/>
        <v>Pass</v>
      </c>
      <c r="L183" s="4" t="str" cm="1">
        <f t="array" aca="1" ref="L183" ca="1">_xlfn.IFS(D183&gt;=85,"A", D183&gt;=70,"B", D183&gt;=50,"C", D183&lt;50,"D")</f>
        <v>C</v>
      </c>
      <c r="M183" t="str">
        <f t="shared" ca="1" si="29"/>
        <v>Low</v>
      </c>
    </row>
    <row r="184" spans="1:13" x14ac:dyDescent="0.3">
      <c r="A184" t="s">
        <v>226</v>
      </c>
      <c r="B184" t="str">
        <f t="shared" ca="1" si="20"/>
        <v>10-B</v>
      </c>
      <c r="C184" t="str">
        <f t="shared" ca="1" si="21"/>
        <v>Math</v>
      </c>
      <c r="D184">
        <f t="shared" ca="1" si="22"/>
        <v>64.099999999999994</v>
      </c>
      <c r="E184">
        <v>100</v>
      </c>
      <c r="F184">
        <f t="shared" ca="1" si="23"/>
        <v>41</v>
      </c>
      <c r="G184" t="str">
        <f t="shared" ca="1" si="24"/>
        <v>Completed</v>
      </c>
      <c r="H184" t="str">
        <f t="shared" ca="1" si="25"/>
        <v>Yes</v>
      </c>
      <c r="I184" t="str">
        <f t="shared" ca="1" si="26"/>
        <v>Yes</v>
      </c>
      <c r="J184" t="str">
        <f t="shared" ca="1" si="27"/>
        <v>Low</v>
      </c>
      <c r="K184" t="str">
        <f t="shared" ca="1" si="28"/>
        <v>Pass</v>
      </c>
      <c r="L184" s="4" t="str" cm="1">
        <f t="array" aca="1" ref="L184" ca="1">_xlfn.IFS(D184&gt;=85,"A", D184&gt;=70,"B", D184&gt;=50,"C", D184&lt;50,"D")</f>
        <v>C</v>
      </c>
      <c r="M184" t="str">
        <f t="shared" ca="1" si="29"/>
        <v>Low</v>
      </c>
    </row>
    <row r="185" spans="1:13" x14ac:dyDescent="0.3">
      <c r="A185" t="s">
        <v>227</v>
      </c>
      <c r="B185" t="str">
        <f t="shared" ca="1" si="20"/>
        <v>10-B</v>
      </c>
      <c r="C185" t="str">
        <f t="shared" ca="1" si="21"/>
        <v>Science</v>
      </c>
      <c r="D185">
        <f t="shared" ca="1" si="22"/>
        <v>36.299999999999997</v>
      </c>
      <c r="E185">
        <v>100</v>
      </c>
      <c r="F185">
        <f t="shared" ca="1" si="23"/>
        <v>63</v>
      </c>
      <c r="G185" t="str">
        <f t="shared" ca="1" si="24"/>
        <v>Completed</v>
      </c>
      <c r="H185" t="str">
        <f t="shared" ca="1" si="25"/>
        <v>Yes</v>
      </c>
      <c r="I185" t="str">
        <f t="shared" ca="1" si="26"/>
        <v>Yes</v>
      </c>
      <c r="J185" t="str">
        <f t="shared" ca="1" si="27"/>
        <v>Medium</v>
      </c>
      <c r="K185" t="str">
        <f t="shared" ca="1" si="28"/>
        <v>Fail</v>
      </c>
      <c r="L185" s="4" t="str" cm="1">
        <f t="array" aca="1" ref="L185" ca="1">_xlfn.IFS(D185&gt;=85,"A", D185&gt;=70,"B", D185&gt;=50,"C", D185&lt;50,"D")</f>
        <v>D</v>
      </c>
      <c r="M185" t="str">
        <f t="shared" ca="1" si="29"/>
        <v>Low</v>
      </c>
    </row>
    <row r="186" spans="1:13" x14ac:dyDescent="0.3">
      <c r="A186" t="s">
        <v>228</v>
      </c>
      <c r="B186" t="str">
        <f t="shared" ca="1" si="20"/>
        <v>10-B</v>
      </c>
      <c r="C186" t="str">
        <f t="shared" ca="1" si="21"/>
        <v>Math</v>
      </c>
      <c r="D186">
        <f t="shared" ca="1" si="22"/>
        <v>44.2</v>
      </c>
      <c r="E186">
        <v>100</v>
      </c>
      <c r="F186">
        <f t="shared" ca="1" si="23"/>
        <v>82</v>
      </c>
      <c r="G186" t="str">
        <f t="shared" ca="1" si="24"/>
        <v>Completed</v>
      </c>
      <c r="H186" t="str">
        <f t="shared" ca="1" si="25"/>
        <v>Yes</v>
      </c>
      <c r="I186" t="str">
        <f t="shared" ca="1" si="26"/>
        <v>No</v>
      </c>
      <c r="J186" t="str">
        <f t="shared" ca="1" si="27"/>
        <v>Critical</v>
      </c>
      <c r="K186" t="str">
        <f t="shared" ca="1" si="28"/>
        <v>Pass</v>
      </c>
      <c r="L186" s="4" t="str" cm="1">
        <f t="array" aca="1" ref="L186" ca="1">_xlfn.IFS(D186&gt;=85,"A", D186&gt;=70,"B", D186&gt;=50,"C", D186&lt;50,"D")</f>
        <v>D</v>
      </c>
      <c r="M186" t="str">
        <f t="shared" ca="1" si="29"/>
        <v>Medium</v>
      </c>
    </row>
    <row r="187" spans="1:13" x14ac:dyDescent="0.3">
      <c r="A187" t="s">
        <v>229</v>
      </c>
      <c r="B187" t="str">
        <f t="shared" ca="1" si="20"/>
        <v>10-A</v>
      </c>
      <c r="C187" t="str">
        <f t="shared" ca="1" si="21"/>
        <v>Science</v>
      </c>
      <c r="D187">
        <f t="shared" ca="1" si="22"/>
        <v>38.700000000000003</v>
      </c>
      <c r="E187">
        <v>100</v>
      </c>
      <c r="F187">
        <f t="shared" ca="1" si="23"/>
        <v>77</v>
      </c>
      <c r="G187" t="str">
        <f t="shared" ca="1" si="24"/>
        <v>Completed</v>
      </c>
      <c r="H187" t="str">
        <f t="shared" ca="1" si="25"/>
        <v>Yes</v>
      </c>
      <c r="I187" t="str">
        <f t="shared" ca="1" si="26"/>
        <v>Yes</v>
      </c>
      <c r="J187" t="str">
        <f t="shared" ca="1" si="27"/>
        <v>Medium</v>
      </c>
      <c r="K187" t="str">
        <f t="shared" ca="1" si="28"/>
        <v>Fail</v>
      </c>
      <c r="L187" s="4" t="str" cm="1">
        <f t="array" aca="1" ref="L187" ca="1">_xlfn.IFS(D187&gt;=85,"A", D187&gt;=70,"B", D187&gt;=50,"C", D187&lt;50,"D")</f>
        <v>D</v>
      </c>
      <c r="M187" t="str">
        <f t="shared" ca="1" si="29"/>
        <v>Medium</v>
      </c>
    </row>
    <row r="188" spans="1:13" x14ac:dyDescent="0.3">
      <c r="A188" t="s">
        <v>230</v>
      </c>
      <c r="B188" t="str">
        <f t="shared" ca="1" si="20"/>
        <v>10-B</v>
      </c>
      <c r="C188" t="str">
        <f t="shared" ca="1" si="21"/>
        <v>Math</v>
      </c>
      <c r="D188">
        <f t="shared" ca="1" si="22"/>
        <v>74.7</v>
      </c>
      <c r="E188">
        <v>100</v>
      </c>
      <c r="F188">
        <f t="shared" ca="1" si="23"/>
        <v>87</v>
      </c>
      <c r="G188" t="str">
        <f t="shared" ca="1" si="24"/>
        <v>Completed</v>
      </c>
      <c r="H188" t="str">
        <f t="shared" ca="1" si="25"/>
        <v>Yes</v>
      </c>
      <c r="I188" t="str">
        <f t="shared" ca="1" si="26"/>
        <v>No</v>
      </c>
      <c r="J188" t="str">
        <f t="shared" ca="1" si="27"/>
        <v>High</v>
      </c>
      <c r="K188" t="str">
        <f t="shared" ca="1" si="28"/>
        <v>Pass</v>
      </c>
      <c r="L188" s="4" t="str" cm="1">
        <f t="array" aca="1" ref="L188" ca="1">_xlfn.IFS(D188&gt;=85,"A", D188&gt;=70,"B", D188&gt;=50,"C", D188&lt;50,"D")</f>
        <v>B</v>
      </c>
      <c r="M188" t="str">
        <f t="shared" ca="1" si="29"/>
        <v>High</v>
      </c>
    </row>
    <row r="189" spans="1:13" x14ac:dyDescent="0.3">
      <c r="A189" t="s">
        <v>231</v>
      </c>
      <c r="B189" t="str">
        <f t="shared" ca="1" si="20"/>
        <v>10-B</v>
      </c>
      <c r="C189" t="str">
        <f t="shared" ca="1" si="21"/>
        <v>Math</v>
      </c>
      <c r="D189">
        <f t="shared" ca="1" si="22"/>
        <v>80.7</v>
      </c>
      <c r="E189">
        <v>100</v>
      </c>
      <c r="F189">
        <f t="shared" ca="1" si="23"/>
        <v>67</v>
      </c>
      <c r="G189" t="str">
        <f t="shared" ca="1" si="24"/>
        <v>Completed</v>
      </c>
      <c r="H189" t="str">
        <f t="shared" ca="1" si="25"/>
        <v>Yes</v>
      </c>
      <c r="I189" t="str">
        <f t="shared" ca="1" si="26"/>
        <v>Yes</v>
      </c>
      <c r="J189" t="str">
        <f t="shared" ca="1" si="27"/>
        <v>Low</v>
      </c>
      <c r="K189" t="str">
        <f t="shared" ca="1" si="28"/>
        <v>Pass</v>
      </c>
      <c r="L189" s="4" t="str" cm="1">
        <f t="array" aca="1" ref="L189" ca="1">_xlfn.IFS(D189&gt;=85,"A", D189&gt;=70,"B", D189&gt;=50,"C", D189&lt;50,"D")</f>
        <v>B</v>
      </c>
      <c r="M189" t="str">
        <f t="shared" ca="1" si="29"/>
        <v>Low</v>
      </c>
    </row>
    <row r="190" spans="1:13" x14ac:dyDescent="0.3">
      <c r="A190" t="s">
        <v>232</v>
      </c>
      <c r="B190" t="str">
        <f t="shared" ca="1" si="20"/>
        <v>10-A</v>
      </c>
      <c r="C190" t="str">
        <f t="shared" ca="1" si="21"/>
        <v>Science</v>
      </c>
      <c r="D190">
        <f t="shared" ca="1" si="22"/>
        <v>59</v>
      </c>
      <c r="E190">
        <v>100</v>
      </c>
      <c r="F190">
        <f t="shared" ca="1" si="23"/>
        <v>100</v>
      </c>
      <c r="G190" t="str">
        <f t="shared" ca="1" si="24"/>
        <v>None</v>
      </c>
      <c r="H190" t="str">
        <f t="shared" ca="1" si="25"/>
        <v>Yes</v>
      </c>
      <c r="I190" t="str">
        <f t="shared" ca="1" si="26"/>
        <v>Yes</v>
      </c>
      <c r="J190" t="str">
        <f t="shared" ca="1" si="27"/>
        <v>Low</v>
      </c>
      <c r="K190" t="str">
        <f t="shared" ca="1" si="28"/>
        <v>Pass</v>
      </c>
      <c r="L190" s="4" t="str" cm="1">
        <f t="array" aca="1" ref="L190" ca="1">_xlfn.IFS(D190&gt;=85,"A", D190&gt;=70,"B", D190&gt;=50,"C", D190&lt;50,"D")</f>
        <v>C</v>
      </c>
      <c r="M190" t="str">
        <f t="shared" ca="1" si="29"/>
        <v>High</v>
      </c>
    </row>
    <row r="191" spans="1:13" x14ac:dyDescent="0.3">
      <c r="A191" t="s">
        <v>233</v>
      </c>
      <c r="B191" t="str">
        <f t="shared" ca="1" si="20"/>
        <v>10-C</v>
      </c>
      <c r="C191" t="str">
        <f t="shared" ca="1" si="21"/>
        <v>Science</v>
      </c>
      <c r="D191">
        <f t="shared" ca="1" si="22"/>
        <v>43.6</v>
      </c>
      <c r="E191">
        <v>100</v>
      </c>
      <c r="F191">
        <f t="shared" ca="1" si="23"/>
        <v>46</v>
      </c>
      <c r="G191" t="str">
        <f t="shared" ca="1" si="24"/>
        <v>None</v>
      </c>
      <c r="H191" t="str">
        <f t="shared" ca="1" si="25"/>
        <v>Yes</v>
      </c>
      <c r="I191" t="str">
        <f t="shared" ca="1" si="26"/>
        <v>Yes</v>
      </c>
      <c r="J191" t="str">
        <f t="shared" ca="1" si="27"/>
        <v>Medium</v>
      </c>
      <c r="K191" t="str">
        <f t="shared" ca="1" si="28"/>
        <v>Pass</v>
      </c>
      <c r="L191" s="4" t="str" cm="1">
        <f t="array" aca="1" ref="L191" ca="1">_xlfn.IFS(D191&gt;=85,"A", D191&gt;=70,"B", D191&gt;=50,"C", D191&lt;50,"D")</f>
        <v>D</v>
      </c>
      <c r="M191" t="str">
        <f t="shared" ca="1" si="29"/>
        <v>Low</v>
      </c>
    </row>
    <row r="192" spans="1:13" x14ac:dyDescent="0.3">
      <c r="A192" t="s">
        <v>234</v>
      </c>
      <c r="B192" t="str">
        <f t="shared" ca="1" si="20"/>
        <v>10-A</v>
      </c>
      <c r="C192" t="str">
        <f t="shared" ca="1" si="21"/>
        <v>English</v>
      </c>
      <c r="D192">
        <f t="shared" ca="1" si="22"/>
        <v>73.099999999999994</v>
      </c>
      <c r="E192">
        <v>100</v>
      </c>
      <c r="F192">
        <f t="shared" ca="1" si="23"/>
        <v>61</v>
      </c>
      <c r="G192" t="str">
        <f t="shared" ca="1" si="24"/>
        <v>None</v>
      </c>
      <c r="H192" t="str">
        <f t="shared" ca="1" si="25"/>
        <v>No</v>
      </c>
      <c r="I192" t="str">
        <f t="shared" ca="1" si="26"/>
        <v>No</v>
      </c>
      <c r="J192" t="str">
        <f t="shared" ca="1" si="27"/>
        <v>High</v>
      </c>
      <c r="K192" t="str">
        <f t="shared" ca="1" si="28"/>
        <v>Pass</v>
      </c>
      <c r="L192" s="4" t="str" cm="1">
        <f t="array" aca="1" ref="L192" ca="1">_xlfn.IFS(D192&gt;=85,"A", D192&gt;=70,"B", D192&gt;=50,"C", D192&lt;50,"D")</f>
        <v>B</v>
      </c>
      <c r="M192" t="str">
        <f t="shared" ca="1" si="29"/>
        <v>Low</v>
      </c>
    </row>
    <row r="193" spans="1:13" x14ac:dyDescent="0.3">
      <c r="A193" t="s">
        <v>235</v>
      </c>
      <c r="B193" t="str">
        <f t="shared" ca="1" si="20"/>
        <v>10-B</v>
      </c>
      <c r="C193" t="str">
        <f t="shared" ca="1" si="21"/>
        <v>English</v>
      </c>
      <c r="D193">
        <f t="shared" ca="1" si="22"/>
        <v>74.2</v>
      </c>
      <c r="E193">
        <v>100</v>
      </c>
      <c r="F193">
        <f t="shared" ca="1" si="23"/>
        <v>52</v>
      </c>
      <c r="G193" t="str">
        <f t="shared" ca="1" si="24"/>
        <v>Completed</v>
      </c>
      <c r="H193" t="str">
        <f t="shared" ca="1" si="25"/>
        <v>No</v>
      </c>
      <c r="I193" t="str">
        <f t="shared" ca="1" si="26"/>
        <v>Yes</v>
      </c>
      <c r="J193" t="str">
        <f t="shared" ca="1" si="27"/>
        <v>Low</v>
      </c>
      <c r="K193" t="str">
        <f t="shared" ca="1" si="28"/>
        <v>Pass</v>
      </c>
      <c r="L193" s="4" t="str" cm="1">
        <f t="array" aca="1" ref="L193" ca="1">_xlfn.IFS(D193&gt;=85,"A", D193&gt;=70,"B", D193&gt;=50,"C", D193&lt;50,"D")</f>
        <v>B</v>
      </c>
      <c r="M193" t="str">
        <f t="shared" ca="1" si="29"/>
        <v>Low</v>
      </c>
    </row>
    <row r="194" spans="1:13" x14ac:dyDescent="0.3">
      <c r="A194" t="s">
        <v>236</v>
      </c>
      <c r="B194" t="str">
        <f t="shared" ca="1" si="20"/>
        <v>10-A</v>
      </c>
      <c r="C194" t="str">
        <f t="shared" ca="1" si="21"/>
        <v>Science</v>
      </c>
      <c r="D194">
        <f t="shared" ca="1" si="22"/>
        <v>45.6</v>
      </c>
      <c r="E194">
        <v>100</v>
      </c>
      <c r="F194">
        <f t="shared" ca="1" si="23"/>
        <v>56</v>
      </c>
      <c r="G194" t="str">
        <f t="shared" ca="1" si="24"/>
        <v>Completed</v>
      </c>
      <c r="H194" t="str">
        <f t="shared" ca="1" si="25"/>
        <v>No</v>
      </c>
      <c r="I194" t="str">
        <f t="shared" ca="1" si="26"/>
        <v>No</v>
      </c>
      <c r="J194" t="str">
        <f t="shared" ca="1" si="27"/>
        <v>Critical</v>
      </c>
      <c r="K194" t="str">
        <f t="shared" ca="1" si="28"/>
        <v>Pass</v>
      </c>
      <c r="L194" s="4" t="str" cm="1">
        <f t="array" aca="1" ref="L194" ca="1">_xlfn.IFS(D194&gt;=85,"A", D194&gt;=70,"B", D194&gt;=50,"C", D194&lt;50,"D")</f>
        <v>D</v>
      </c>
      <c r="M194" t="str">
        <f t="shared" ca="1" si="29"/>
        <v>Low</v>
      </c>
    </row>
    <row r="195" spans="1:13" x14ac:dyDescent="0.3">
      <c r="A195" t="s">
        <v>237</v>
      </c>
      <c r="B195" t="str">
        <f t="shared" ref="B195:B258" ca="1" si="30">CHOOSE(RANDBETWEEN(1,3), "10-A", "10-B", "10-C")</f>
        <v>10-C</v>
      </c>
      <c r="C195" t="str">
        <f t="shared" ref="C195:C258" ca="1" si="31">CHOOSE(RANDBETWEEN(1,3), "Math", "Science", "English")</f>
        <v>Science</v>
      </c>
      <c r="D195">
        <f t="shared" ref="D195:D258" ca="1" si="32">MIN(100, RANDBETWEEN(30, 80) + (F195/10))</f>
        <v>76.8</v>
      </c>
      <c r="E195">
        <v>100</v>
      </c>
      <c r="F195">
        <f t="shared" ref="F195:F258" ca="1" si="33">RANDBETWEEN(40, 100)</f>
        <v>78</v>
      </c>
      <c r="G195" t="str">
        <f t="shared" ref="G195:G258" ca="1" si="34">IF(RANDBETWEEN(0,1)=1, "Completed", "None")</f>
        <v>None</v>
      </c>
      <c r="H195" t="str">
        <f t="shared" ref="H195:H258" ca="1" si="35">IF(RANDBETWEEN(1,10)&gt;3, "Yes", "No")</f>
        <v>Yes</v>
      </c>
      <c r="I195" t="str">
        <f t="shared" ref="I195:I258" ca="1" si="36">IF(RANDBETWEEN(1,10)&gt;3, "Yes", "No")</f>
        <v>No</v>
      </c>
      <c r="J195" t="str">
        <f t="shared" ref="J195:J258" ca="1" si="37">IF(TRIM(I195)="No", IF(VALUE(D195)&lt;50, "Critical", "High"), IF(VALUE(D195)&lt;50, "Medium", "Low"))</f>
        <v>High</v>
      </c>
      <c r="K195" t="str">
        <f t="shared" ref="K195:K258" ca="1" si="38">IF(D195&gt;=40, "Pass", "Fail")</f>
        <v>Pass</v>
      </c>
      <c r="L195" s="4" t="str" cm="1">
        <f t="array" aca="1" ref="L195" ca="1">_xlfn.IFS(D195&gt;=85,"A", D195&gt;=70,"B", D195&gt;=50,"C", D195&lt;50,"D")</f>
        <v>B</v>
      </c>
      <c r="M195" t="str">
        <f t="shared" ref="M195:M258" ca="1" si="39">IF(F195&gt;=85, "High", IF(F195&gt;=75, "Medium", "Low"))</f>
        <v>Medium</v>
      </c>
    </row>
    <row r="196" spans="1:13" x14ac:dyDescent="0.3">
      <c r="A196" t="s">
        <v>238</v>
      </c>
      <c r="B196" t="str">
        <f t="shared" ca="1" si="30"/>
        <v>10-A</v>
      </c>
      <c r="C196" t="str">
        <f t="shared" ca="1" si="31"/>
        <v>English</v>
      </c>
      <c r="D196">
        <f t="shared" ca="1" si="32"/>
        <v>37</v>
      </c>
      <c r="E196">
        <v>100</v>
      </c>
      <c r="F196">
        <f t="shared" ca="1" si="33"/>
        <v>60</v>
      </c>
      <c r="G196" t="str">
        <f t="shared" ca="1" si="34"/>
        <v>None</v>
      </c>
      <c r="H196" t="str">
        <f t="shared" ca="1" si="35"/>
        <v>No</v>
      </c>
      <c r="I196" t="str">
        <f t="shared" ca="1" si="36"/>
        <v>No</v>
      </c>
      <c r="J196" t="str">
        <f t="shared" ca="1" si="37"/>
        <v>Critical</v>
      </c>
      <c r="K196" t="str">
        <f t="shared" ca="1" si="38"/>
        <v>Fail</v>
      </c>
      <c r="L196" s="4" t="str" cm="1">
        <f t="array" aca="1" ref="L196" ca="1">_xlfn.IFS(D196&gt;=85,"A", D196&gt;=70,"B", D196&gt;=50,"C", D196&lt;50,"D")</f>
        <v>D</v>
      </c>
      <c r="M196" t="str">
        <f t="shared" ca="1" si="39"/>
        <v>Low</v>
      </c>
    </row>
    <row r="197" spans="1:13" x14ac:dyDescent="0.3">
      <c r="A197" t="s">
        <v>239</v>
      </c>
      <c r="B197" t="str">
        <f t="shared" ca="1" si="30"/>
        <v>10-A</v>
      </c>
      <c r="C197" t="str">
        <f t="shared" ca="1" si="31"/>
        <v>Science</v>
      </c>
      <c r="D197">
        <f t="shared" ca="1" si="32"/>
        <v>39.700000000000003</v>
      </c>
      <c r="E197">
        <v>100</v>
      </c>
      <c r="F197">
        <f t="shared" ca="1" si="33"/>
        <v>77</v>
      </c>
      <c r="G197" t="str">
        <f t="shared" ca="1" si="34"/>
        <v>None</v>
      </c>
      <c r="H197" t="str">
        <f t="shared" ca="1" si="35"/>
        <v>Yes</v>
      </c>
      <c r="I197" t="str">
        <f t="shared" ca="1" si="36"/>
        <v>No</v>
      </c>
      <c r="J197" t="str">
        <f t="shared" ca="1" si="37"/>
        <v>Critical</v>
      </c>
      <c r="K197" t="str">
        <f t="shared" ca="1" si="38"/>
        <v>Fail</v>
      </c>
      <c r="L197" s="4" t="str" cm="1">
        <f t="array" aca="1" ref="L197" ca="1">_xlfn.IFS(D197&gt;=85,"A", D197&gt;=70,"B", D197&gt;=50,"C", D197&lt;50,"D")</f>
        <v>D</v>
      </c>
      <c r="M197" t="str">
        <f t="shared" ca="1" si="39"/>
        <v>Medium</v>
      </c>
    </row>
    <row r="198" spans="1:13" x14ac:dyDescent="0.3">
      <c r="A198" t="s">
        <v>240</v>
      </c>
      <c r="B198" t="str">
        <f t="shared" ca="1" si="30"/>
        <v>10-A</v>
      </c>
      <c r="C198" t="str">
        <f t="shared" ca="1" si="31"/>
        <v>Math</v>
      </c>
      <c r="D198">
        <f t="shared" ca="1" si="32"/>
        <v>61.9</v>
      </c>
      <c r="E198">
        <v>100</v>
      </c>
      <c r="F198">
        <f t="shared" ca="1" si="33"/>
        <v>79</v>
      </c>
      <c r="G198" t="str">
        <f t="shared" ca="1" si="34"/>
        <v>Completed</v>
      </c>
      <c r="H198" t="str">
        <f t="shared" ca="1" si="35"/>
        <v>Yes</v>
      </c>
      <c r="I198" t="str">
        <f t="shared" ca="1" si="36"/>
        <v>Yes</v>
      </c>
      <c r="J198" t="str">
        <f t="shared" ca="1" si="37"/>
        <v>Low</v>
      </c>
      <c r="K198" t="str">
        <f t="shared" ca="1" si="38"/>
        <v>Pass</v>
      </c>
      <c r="L198" s="4" t="str" cm="1">
        <f t="array" aca="1" ref="L198" ca="1">_xlfn.IFS(D198&gt;=85,"A", D198&gt;=70,"B", D198&gt;=50,"C", D198&lt;50,"D")</f>
        <v>C</v>
      </c>
      <c r="M198" t="str">
        <f t="shared" ca="1" si="39"/>
        <v>Medium</v>
      </c>
    </row>
    <row r="199" spans="1:13" x14ac:dyDescent="0.3">
      <c r="A199" t="s">
        <v>241</v>
      </c>
      <c r="B199" t="str">
        <f t="shared" ca="1" si="30"/>
        <v>10-C</v>
      </c>
      <c r="C199" t="str">
        <f t="shared" ca="1" si="31"/>
        <v>Science</v>
      </c>
      <c r="D199">
        <f t="shared" ca="1" si="32"/>
        <v>67.7</v>
      </c>
      <c r="E199">
        <v>100</v>
      </c>
      <c r="F199">
        <f t="shared" ca="1" si="33"/>
        <v>67</v>
      </c>
      <c r="G199" t="str">
        <f t="shared" ca="1" si="34"/>
        <v>None</v>
      </c>
      <c r="H199" t="str">
        <f t="shared" ca="1" si="35"/>
        <v>Yes</v>
      </c>
      <c r="I199" t="str">
        <f t="shared" ca="1" si="36"/>
        <v>Yes</v>
      </c>
      <c r="J199" t="str">
        <f t="shared" ca="1" si="37"/>
        <v>Low</v>
      </c>
      <c r="K199" t="str">
        <f t="shared" ca="1" si="38"/>
        <v>Pass</v>
      </c>
      <c r="L199" s="4" t="str" cm="1">
        <f t="array" aca="1" ref="L199" ca="1">_xlfn.IFS(D199&gt;=85,"A", D199&gt;=70,"B", D199&gt;=50,"C", D199&lt;50,"D")</f>
        <v>C</v>
      </c>
      <c r="M199" t="str">
        <f t="shared" ca="1" si="39"/>
        <v>Low</v>
      </c>
    </row>
    <row r="200" spans="1:13" x14ac:dyDescent="0.3">
      <c r="A200" t="s">
        <v>242</v>
      </c>
      <c r="B200" t="str">
        <f t="shared" ca="1" si="30"/>
        <v>10-B</v>
      </c>
      <c r="C200" t="str">
        <f t="shared" ca="1" si="31"/>
        <v>Science</v>
      </c>
      <c r="D200">
        <f t="shared" ca="1" si="32"/>
        <v>46.9</v>
      </c>
      <c r="E200">
        <v>100</v>
      </c>
      <c r="F200">
        <f t="shared" ca="1" si="33"/>
        <v>79</v>
      </c>
      <c r="G200" t="str">
        <f t="shared" ca="1" si="34"/>
        <v>Completed</v>
      </c>
      <c r="H200" t="str">
        <f t="shared" ca="1" si="35"/>
        <v>No</v>
      </c>
      <c r="I200" t="str">
        <f t="shared" ca="1" si="36"/>
        <v>Yes</v>
      </c>
      <c r="J200" t="str">
        <f t="shared" ca="1" si="37"/>
        <v>Medium</v>
      </c>
      <c r="K200" t="str">
        <f t="shared" ca="1" si="38"/>
        <v>Pass</v>
      </c>
      <c r="L200" s="4" t="str" cm="1">
        <f t="array" aca="1" ref="L200" ca="1">_xlfn.IFS(D200&gt;=85,"A", D200&gt;=70,"B", D200&gt;=50,"C", D200&lt;50,"D")</f>
        <v>D</v>
      </c>
      <c r="M200" t="str">
        <f t="shared" ca="1" si="39"/>
        <v>Medium</v>
      </c>
    </row>
    <row r="201" spans="1:13" x14ac:dyDescent="0.3">
      <c r="A201" t="s">
        <v>243</v>
      </c>
      <c r="B201" t="str">
        <f t="shared" ca="1" si="30"/>
        <v>10-C</v>
      </c>
      <c r="C201" t="str">
        <f t="shared" ca="1" si="31"/>
        <v>Math</v>
      </c>
      <c r="D201">
        <f t="shared" ca="1" si="32"/>
        <v>82.2</v>
      </c>
      <c r="E201">
        <v>100</v>
      </c>
      <c r="F201">
        <f t="shared" ca="1" si="33"/>
        <v>52</v>
      </c>
      <c r="G201" t="str">
        <f t="shared" ca="1" si="34"/>
        <v>Completed</v>
      </c>
      <c r="H201" t="str">
        <f t="shared" ca="1" si="35"/>
        <v>Yes</v>
      </c>
      <c r="I201" t="str">
        <f t="shared" ca="1" si="36"/>
        <v>Yes</v>
      </c>
      <c r="J201" t="str">
        <f t="shared" ca="1" si="37"/>
        <v>Low</v>
      </c>
      <c r="K201" t="str">
        <f t="shared" ca="1" si="38"/>
        <v>Pass</v>
      </c>
      <c r="L201" s="4" t="str" cm="1">
        <f t="array" aca="1" ref="L201" ca="1">_xlfn.IFS(D201&gt;=85,"A", D201&gt;=70,"B", D201&gt;=50,"C", D201&lt;50,"D")</f>
        <v>B</v>
      </c>
      <c r="M201" t="str">
        <f t="shared" ca="1" si="39"/>
        <v>Low</v>
      </c>
    </row>
    <row r="202" spans="1:13" x14ac:dyDescent="0.3">
      <c r="A202" t="s">
        <v>244</v>
      </c>
      <c r="B202" t="str">
        <f t="shared" ca="1" si="30"/>
        <v>10-B</v>
      </c>
      <c r="C202" t="str">
        <f t="shared" ca="1" si="31"/>
        <v>Science</v>
      </c>
      <c r="D202">
        <f t="shared" ca="1" si="32"/>
        <v>83.1</v>
      </c>
      <c r="E202">
        <v>100</v>
      </c>
      <c r="F202">
        <f t="shared" ca="1" si="33"/>
        <v>51</v>
      </c>
      <c r="G202" t="str">
        <f t="shared" ca="1" si="34"/>
        <v>None</v>
      </c>
      <c r="H202" t="str">
        <f t="shared" ca="1" si="35"/>
        <v>No</v>
      </c>
      <c r="I202" t="str">
        <f t="shared" ca="1" si="36"/>
        <v>No</v>
      </c>
      <c r="J202" t="str">
        <f t="shared" ca="1" si="37"/>
        <v>High</v>
      </c>
      <c r="K202" t="str">
        <f t="shared" ca="1" si="38"/>
        <v>Pass</v>
      </c>
      <c r="L202" s="4" t="str" cm="1">
        <f t="array" aca="1" ref="L202" ca="1">_xlfn.IFS(D202&gt;=85,"A", D202&gt;=70,"B", D202&gt;=50,"C", D202&lt;50,"D")</f>
        <v>B</v>
      </c>
      <c r="M202" t="str">
        <f t="shared" ca="1" si="39"/>
        <v>Low</v>
      </c>
    </row>
    <row r="203" spans="1:13" x14ac:dyDescent="0.3">
      <c r="A203" t="s">
        <v>245</v>
      </c>
      <c r="B203" t="str">
        <f t="shared" ca="1" si="30"/>
        <v>10-A</v>
      </c>
      <c r="C203" t="str">
        <f t="shared" ca="1" si="31"/>
        <v>English</v>
      </c>
      <c r="D203">
        <f t="shared" ca="1" si="32"/>
        <v>39.9</v>
      </c>
      <c r="E203">
        <v>100</v>
      </c>
      <c r="F203">
        <f t="shared" ca="1" si="33"/>
        <v>69</v>
      </c>
      <c r="G203" t="str">
        <f t="shared" ca="1" si="34"/>
        <v>None</v>
      </c>
      <c r="H203" t="str">
        <f t="shared" ca="1" si="35"/>
        <v>Yes</v>
      </c>
      <c r="I203" t="str">
        <f t="shared" ca="1" si="36"/>
        <v>Yes</v>
      </c>
      <c r="J203" t="str">
        <f t="shared" ca="1" si="37"/>
        <v>Medium</v>
      </c>
      <c r="K203" t="str">
        <f t="shared" ca="1" si="38"/>
        <v>Fail</v>
      </c>
      <c r="L203" s="4" t="str" cm="1">
        <f t="array" aca="1" ref="L203" ca="1">_xlfn.IFS(D203&gt;=85,"A", D203&gt;=70,"B", D203&gt;=50,"C", D203&lt;50,"D")</f>
        <v>D</v>
      </c>
      <c r="M203" t="str">
        <f t="shared" ca="1" si="39"/>
        <v>Low</v>
      </c>
    </row>
    <row r="204" spans="1:13" x14ac:dyDescent="0.3">
      <c r="A204" t="s">
        <v>246</v>
      </c>
      <c r="B204" t="str">
        <f t="shared" ca="1" si="30"/>
        <v>10-A</v>
      </c>
      <c r="C204" t="str">
        <f t="shared" ca="1" si="31"/>
        <v>Math</v>
      </c>
      <c r="D204">
        <f t="shared" ca="1" si="32"/>
        <v>80.400000000000006</v>
      </c>
      <c r="E204">
        <v>100</v>
      </c>
      <c r="F204">
        <f t="shared" ca="1" si="33"/>
        <v>84</v>
      </c>
      <c r="G204" t="str">
        <f t="shared" ca="1" si="34"/>
        <v>Completed</v>
      </c>
      <c r="H204" t="str">
        <f t="shared" ca="1" si="35"/>
        <v>Yes</v>
      </c>
      <c r="I204" t="str">
        <f t="shared" ca="1" si="36"/>
        <v>Yes</v>
      </c>
      <c r="J204" t="str">
        <f t="shared" ca="1" si="37"/>
        <v>Low</v>
      </c>
      <c r="K204" t="str">
        <f t="shared" ca="1" si="38"/>
        <v>Pass</v>
      </c>
      <c r="L204" s="4" t="str" cm="1">
        <f t="array" aca="1" ref="L204" ca="1">_xlfn.IFS(D204&gt;=85,"A", D204&gt;=70,"B", D204&gt;=50,"C", D204&lt;50,"D")</f>
        <v>B</v>
      </c>
      <c r="M204" t="str">
        <f t="shared" ca="1" si="39"/>
        <v>Medium</v>
      </c>
    </row>
    <row r="205" spans="1:13" x14ac:dyDescent="0.3">
      <c r="A205" t="s">
        <v>247</v>
      </c>
      <c r="B205" t="str">
        <f t="shared" ca="1" si="30"/>
        <v>10-C</v>
      </c>
      <c r="C205" t="str">
        <f t="shared" ca="1" si="31"/>
        <v>English</v>
      </c>
      <c r="D205">
        <f t="shared" ca="1" si="32"/>
        <v>56.6</v>
      </c>
      <c r="E205">
        <v>100</v>
      </c>
      <c r="F205">
        <f t="shared" ca="1" si="33"/>
        <v>96</v>
      </c>
      <c r="G205" t="str">
        <f t="shared" ca="1" si="34"/>
        <v>Completed</v>
      </c>
      <c r="H205" t="str">
        <f t="shared" ca="1" si="35"/>
        <v>Yes</v>
      </c>
      <c r="I205" t="str">
        <f t="shared" ca="1" si="36"/>
        <v>Yes</v>
      </c>
      <c r="J205" t="str">
        <f t="shared" ca="1" si="37"/>
        <v>Low</v>
      </c>
      <c r="K205" t="str">
        <f t="shared" ca="1" si="38"/>
        <v>Pass</v>
      </c>
      <c r="L205" s="4" t="str" cm="1">
        <f t="array" aca="1" ref="L205" ca="1">_xlfn.IFS(D205&gt;=85,"A", D205&gt;=70,"B", D205&gt;=50,"C", D205&lt;50,"D")</f>
        <v>C</v>
      </c>
      <c r="M205" t="str">
        <f t="shared" ca="1" si="39"/>
        <v>High</v>
      </c>
    </row>
    <row r="206" spans="1:13" x14ac:dyDescent="0.3">
      <c r="A206" t="s">
        <v>248</v>
      </c>
      <c r="B206" t="str">
        <f t="shared" ca="1" si="30"/>
        <v>10-A</v>
      </c>
      <c r="C206" t="str">
        <f t="shared" ca="1" si="31"/>
        <v>English</v>
      </c>
      <c r="D206">
        <f t="shared" ca="1" si="32"/>
        <v>83.3</v>
      </c>
      <c r="E206">
        <v>100</v>
      </c>
      <c r="F206">
        <f t="shared" ca="1" si="33"/>
        <v>63</v>
      </c>
      <c r="G206" t="str">
        <f t="shared" ca="1" si="34"/>
        <v>Completed</v>
      </c>
      <c r="H206" t="str">
        <f t="shared" ca="1" si="35"/>
        <v>No</v>
      </c>
      <c r="I206" t="str">
        <f t="shared" ca="1" si="36"/>
        <v>No</v>
      </c>
      <c r="J206" t="str">
        <f t="shared" ca="1" si="37"/>
        <v>High</v>
      </c>
      <c r="K206" t="str">
        <f t="shared" ca="1" si="38"/>
        <v>Pass</v>
      </c>
      <c r="L206" s="4" t="str" cm="1">
        <f t="array" aca="1" ref="L206" ca="1">_xlfn.IFS(D206&gt;=85,"A", D206&gt;=70,"B", D206&gt;=50,"C", D206&lt;50,"D")</f>
        <v>B</v>
      </c>
      <c r="M206" t="str">
        <f t="shared" ca="1" si="39"/>
        <v>Low</v>
      </c>
    </row>
    <row r="207" spans="1:13" x14ac:dyDescent="0.3">
      <c r="A207" t="s">
        <v>249</v>
      </c>
      <c r="B207" t="str">
        <f t="shared" ca="1" si="30"/>
        <v>10-A</v>
      </c>
      <c r="C207" t="str">
        <f t="shared" ca="1" si="31"/>
        <v>English</v>
      </c>
      <c r="D207">
        <f t="shared" ca="1" si="32"/>
        <v>56.1</v>
      </c>
      <c r="E207">
        <v>100</v>
      </c>
      <c r="F207">
        <f t="shared" ca="1" si="33"/>
        <v>41</v>
      </c>
      <c r="G207" t="str">
        <f t="shared" ca="1" si="34"/>
        <v>None</v>
      </c>
      <c r="H207" t="str">
        <f t="shared" ca="1" si="35"/>
        <v>No</v>
      </c>
      <c r="I207" t="str">
        <f t="shared" ca="1" si="36"/>
        <v>Yes</v>
      </c>
      <c r="J207" t="str">
        <f t="shared" ca="1" si="37"/>
        <v>Low</v>
      </c>
      <c r="K207" t="str">
        <f t="shared" ca="1" si="38"/>
        <v>Pass</v>
      </c>
      <c r="L207" s="4" t="str" cm="1">
        <f t="array" aca="1" ref="L207" ca="1">_xlfn.IFS(D207&gt;=85,"A", D207&gt;=70,"B", D207&gt;=50,"C", D207&lt;50,"D")</f>
        <v>C</v>
      </c>
      <c r="M207" t="str">
        <f t="shared" ca="1" si="39"/>
        <v>Low</v>
      </c>
    </row>
    <row r="208" spans="1:13" x14ac:dyDescent="0.3">
      <c r="A208" t="s">
        <v>250</v>
      </c>
      <c r="B208" t="str">
        <f t="shared" ca="1" si="30"/>
        <v>10-A</v>
      </c>
      <c r="C208" t="str">
        <f t="shared" ca="1" si="31"/>
        <v>English</v>
      </c>
      <c r="D208">
        <f t="shared" ca="1" si="32"/>
        <v>55.6</v>
      </c>
      <c r="E208">
        <v>100</v>
      </c>
      <c r="F208">
        <f t="shared" ca="1" si="33"/>
        <v>46</v>
      </c>
      <c r="G208" t="str">
        <f t="shared" ca="1" si="34"/>
        <v>None</v>
      </c>
      <c r="H208" t="str">
        <f t="shared" ca="1" si="35"/>
        <v>Yes</v>
      </c>
      <c r="I208" t="str">
        <f t="shared" ca="1" si="36"/>
        <v>Yes</v>
      </c>
      <c r="J208" t="str">
        <f t="shared" ca="1" si="37"/>
        <v>Low</v>
      </c>
      <c r="K208" t="str">
        <f t="shared" ca="1" si="38"/>
        <v>Pass</v>
      </c>
      <c r="L208" s="4" t="str" cm="1">
        <f t="array" aca="1" ref="L208" ca="1">_xlfn.IFS(D208&gt;=85,"A", D208&gt;=70,"B", D208&gt;=50,"C", D208&lt;50,"D")</f>
        <v>C</v>
      </c>
      <c r="M208" t="str">
        <f t="shared" ca="1" si="39"/>
        <v>Low</v>
      </c>
    </row>
    <row r="209" spans="1:13" x14ac:dyDescent="0.3">
      <c r="A209" t="s">
        <v>251</v>
      </c>
      <c r="B209" t="str">
        <f t="shared" ca="1" si="30"/>
        <v>10-B</v>
      </c>
      <c r="C209" t="str">
        <f t="shared" ca="1" si="31"/>
        <v>Science</v>
      </c>
      <c r="D209">
        <f t="shared" ca="1" si="32"/>
        <v>65.3</v>
      </c>
      <c r="E209">
        <v>100</v>
      </c>
      <c r="F209">
        <f t="shared" ca="1" si="33"/>
        <v>63</v>
      </c>
      <c r="G209" t="str">
        <f t="shared" ca="1" si="34"/>
        <v>Completed</v>
      </c>
      <c r="H209" t="str">
        <f t="shared" ca="1" si="35"/>
        <v>Yes</v>
      </c>
      <c r="I209" t="str">
        <f t="shared" ca="1" si="36"/>
        <v>No</v>
      </c>
      <c r="J209" t="str">
        <f t="shared" ca="1" si="37"/>
        <v>High</v>
      </c>
      <c r="K209" t="str">
        <f t="shared" ca="1" si="38"/>
        <v>Pass</v>
      </c>
      <c r="L209" s="4" t="str" cm="1">
        <f t="array" aca="1" ref="L209" ca="1">_xlfn.IFS(D209&gt;=85,"A", D209&gt;=70,"B", D209&gt;=50,"C", D209&lt;50,"D")</f>
        <v>C</v>
      </c>
      <c r="M209" t="str">
        <f t="shared" ca="1" si="39"/>
        <v>Low</v>
      </c>
    </row>
    <row r="210" spans="1:13" x14ac:dyDescent="0.3">
      <c r="A210" t="s">
        <v>252</v>
      </c>
      <c r="B210" t="str">
        <f t="shared" ca="1" si="30"/>
        <v>10-C</v>
      </c>
      <c r="C210" t="str">
        <f t="shared" ca="1" si="31"/>
        <v>Science</v>
      </c>
      <c r="D210">
        <f t="shared" ca="1" si="32"/>
        <v>82.1</v>
      </c>
      <c r="E210">
        <v>100</v>
      </c>
      <c r="F210">
        <f t="shared" ca="1" si="33"/>
        <v>81</v>
      </c>
      <c r="G210" t="str">
        <f t="shared" ca="1" si="34"/>
        <v>None</v>
      </c>
      <c r="H210" t="str">
        <f t="shared" ca="1" si="35"/>
        <v>Yes</v>
      </c>
      <c r="I210" t="str">
        <f t="shared" ca="1" si="36"/>
        <v>Yes</v>
      </c>
      <c r="J210" t="str">
        <f t="shared" ca="1" si="37"/>
        <v>Low</v>
      </c>
      <c r="K210" t="str">
        <f t="shared" ca="1" si="38"/>
        <v>Pass</v>
      </c>
      <c r="L210" s="4" t="str" cm="1">
        <f t="array" aca="1" ref="L210" ca="1">_xlfn.IFS(D210&gt;=85,"A", D210&gt;=70,"B", D210&gt;=50,"C", D210&lt;50,"D")</f>
        <v>B</v>
      </c>
      <c r="M210" t="str">
        <f t="shared" ca="1" si="39"/>
        <v>Medium</v>
      </c>
    </row>
    <row r="211" spans="1:13" x14ac:dyDescent="0.3">
      <c r="A211" t="s">
        <v>253</v>
      </c>
      <c r="B211" t="str">
        <f t="shared" ca="1" si="30"/>
        <v>10-B</v>
      </c>
      <c r="C211" t="str">
        <f t="shared" ca="1" si="31"/>
        <v>Math</v>
      </c>
      <c r="D211">
        <f t="shared" ca="1" si="32"/>
        <v>40.1</v>
      </c>
      <c r="E211">
        <v>100</v>
      </c>
      <c r="F211">
        <f t="shared" ca="1" si="33"/>
        <v>51</v>
      </c>
      <c r="G211" t="str">
        <f t="shared" ca="1" si="34"/>
        <v>None</v>
      </c>
      <c r="H211" t="str">
        <f t="shared" ca="1" si="35"/>
        <v>Yes</v>
      </c>
      <c r="I211" t="str">
        <f t="shared" ca="1" si="36"/>
        <v>No</v>
      </c>
      <c r="J211" t="str">
        <f t="shared" ca="1" si="37"/>
        <v>Critical</v>
      </c>
      <c r="K211" t="str">
        <f t="shared" ca="1" si="38"/>
        <v>Pass</v>
      </c>
      <c r="L211" s="4" t="str" cm="1">
        <f t="array" aca="1" ref="L211" ca="1">_xlfn.IFS(D211&gt;=85,"A", D211&gt;=70,"B", D211&gt;=50,"C", D211&lt;50,"D")</f>
        <v>D</v>
      </c>
      <c r="M211" t="str">
        <f t="shared" ca="1" si="39"/>
        <v>Low</v>
      </c>
    </row>
    <row r="212" spans="1:13" x14ac:dyDescent="0.3">
      <c r="A212" t="s">
        <v>254</v>
      </c>
      <c r="B212" t="str">
        <f t="shared" ca="1" si="30"/>
        <v>10-B</v>
      </c>
      <c r="C212" t="str">
        <f t="shared" ca="1" si="31"/>
        <v>English</v>
      </c>
      <c r="D212">
        <f t="shared" ca="1" si="32"/>
        <v>42.2</v>
      </c>
      <c r="E212">
        <v>100</v>
      </c>
      <c r="F212">
        <f t="shared" ca="1" si="33"/>
        <v>42</v>
      </c>
      <c r="G212" t="str">
        <f t="shared" ca="1" si="34"/>
        <v>None</v>
      </c>
      <c r="H212" t="str">
        <f t="shared" ca="1" si="35"/>
        <v>No</v>
      </c>
      <c r="I212" t="str">
        <f t="shared" ca="1" si="36"/>
        <v>Yes</v>
      </c>
      <c r="J212" t="str">
        <f t="shared" ca="1" si="37"/>
        <v>Medium</v>
      </c>
      <c r="K212" t="str">
        <f t="shared" ca="1" si="38"/>
        <v>Pass</v>
      </c>
      <c r="L212" s="4" t="str" cm="1">
        <f t="array" aca="1" ref="L212" ca="1">_xlfn.IFS(D212&gt;=85,"A", D212&gt;=70,"B", D212&gt;=50,"C", D212&lt;50,"D")</f>
        <v>D</v>
      </c>
      <c r="M212" t="str">
        <f t="shared" ca="1" si="39"/>
        <v>Low</v>
      </c>
    </row>
    <row r="213" spans="1:13" x14ac:dyDescent="0.3">
      <c r="A213" t="s">
        <v>255</v>
      </c>
      <c r="B213" t="str">
        <f t="shared" ca="1" si="30"/>
        <v>10-C</v>
      </c>
      <c r="C213" t="str">
        <f t="shared" ca="1" si="31"/>
        <v>Science</v>
      </c>
      <c r="D213">
        <f t="shared" ca="1" si="32"/>
        <v>67.900000000000006</v>
      </c>
      <c r="E213">
        <v>100</v>
      </c>
      <c r="F213">
        <f t="shared" ca="1" si="33"/>
        <v>99</v>
      </c>
      <c r="G213" t="str">
        <f t="shared" ca="1" si="34"/>
        <v>None</v>
      </c>
      <c r="H213" t="str">
        <f t="shared" ca="1" si="35"/>
        <v>Yes</v>
      </c>
      <c r="I213" t="str">
        <f t="shared" ca="1" si="36"/>
        <v>Yes</v>
      </c>
      <c r="J213" t="str">
        <f t="shared" ca="1" si="37"/>
        <v>Low</v>
      </c>
      <c r="K213" t="str">
        <f t="shared" ca="1" si="38"/>
        <v>Pass</v>
      </c>
      <c r="L213" s="4" t="str" cm="1">
        <f t="array" aca="1" ref="L213" ca="1">_xlfn.IFS(D213&gt;=85,"A", D213&gt;=70,"B", D213&gt;=50,"C", D213&lt;50,"D")</f>
        <v>C</v>
      </c>
      <c r="M213" t="str">
        <f t="shared" ca="1" si="39"/>
        <v>High</v>
      </c>
    </row>
    <row r="214" spans="1:13" x14ac:dyDescent="0.3">
      <c r="A214" t="s">
        <v>256</v>
      </c>
      <c r="B214" t="str">
        <f t="shared" ca="1" si="30"/>
        <v>10-C</v>
      </c>
      <c r="C214" t="str">
        <f t="shared" ca="1" si="31"/>
        <v>Math</v>
      </c>
      <c r="D214">
        <f t="shared" ca="1" si="32"/>
        <v>47</v>
      </c>
      <c r="E214">
        <v>100</v>
      </c>
      <c r="F214">
        <f t="shared" ca="1" si="33"/>
        <v>60</v>
      </c>
      <c r="G214" t="str">
        <f t="shared" ca="1" si="34"/>
        <v>Completed</v>
      </c>
      <c r="H214" t="str">
        <f t="shared" ca="1" si="35"/>
        <v>Yes</v>
      </c>
      <c r="I214" t="str">
        <f t="shared" ca="1" si="36"/>
        <v>No</v>
      </c>
      <c r="J214" t="str">
        <f t="shared" ca="1" si="37"/>
        <v>Critical</v>
      </c>
      <c r="K214" t="str">
        <f t="shared" ca="1" si="38"/>
        <v>Pass</v>
      </c>
      <c r="L214" s="4" t="str" cm="1">
        <f t="array" aca="1" ref="L214" ca="1">_xlfn.IFS(D214&gt;=85,"A", D214&gt;=70,"B", D214&gt;=50,"C", D214&lt;50,"D")</f>
        <v>D</v>
      </c>
      <c r="M214" t="str">
        <f t="shared" ca="1" si="39"/>
        <v>Low</v>
      </c>
    </row>
    <row r="215" spans="1:13" x14ac:dyDescent="0.3">
      <c r="A215" t="s">
        <v>257</v>
      </c>
      <c r="B215" t="str">
        <f t="shared" ca="1" si="30"/>
        <v>10-A</v>
      </c>
      <c r="C215" t="str">
        <f t="shared" ca="1" si="31"/>
        <v>Math</v>
      </c>
      <c r="D215">
        <f t="shared" ca="1" si="32"/>
        <v>47.9</v>
      </c>
      <c r="E215">
        <v>100</v>
      </c>
      <c r="F215">
        <f t="shared" ca="1" si="33"/>
        <v>89</v>
      </c>
      <c r="G215" t="str">
        <f t="shared" ca="1" si="34"/>
        <v>Completed</v>
      </c>
      <c r="H215" t="str">
        <f t="shared" ca="1" si="35"/>
        <v>Yes</v>
      </c>
      <c r="I215" t="str">
        <f t="shared" ca="1" si="36"/>
        <v>Yes</v>
      </c>
      <c r="J215" t="str">
        <f t="shared" ca="1" si="37"/>
        <v>Medium</v>
      </c>
      <c r="K215" t="str">
        <f t="shared" ca="1" si="38"/>
        <v>Pass</v>
      </c>
      <c r="L215" s="4" t="str" cm="1">
        <f t="array" aca="1" ref="L215" ca="1">_xlfn.IFS(D215&gt;=85,"A", D215&gt;=70,"B", D215&gt;=50,"C", D215&lt;50,"D")</f>
        <v>D</v>
      </c>
      <c r="M215" t="str">
        <f t="shared" ca="1" si="39"/>
        <v>High</v>
      </c>
    </row>
    <row r="216" spans="1:13" x14ac:dyDescent="0.3">
      <c r="A216" t="s">
        <v>258</v>
      </c>
      <c r="B216" t="str">
        <f t="shared" ca="1" si="30"/>
        <v>10-A</v>
      </c>
      <c r="C216" t="str">
        <f t="shared" ca="1" si="31"/>
        <v>Science</v>
      </c>
      <c r="D216">
        <f t="shared" ca="1" si="32"/>
        <v>74.3</v>
      </c>
      <c r="E216">
        <v>100</v>
      </c>
      <c r="F216">
        <f t="shared" ca="1" si="33"/>
        <v>73</v>
      </c>
      <c r="G216" t="str">
        <f t="shared" ca="1" si="34"/>
        <v>Completed</v>
      </c>
      <c r="H216" t="str">
        <f t="shared" ca="1" si="35"/>
        <v>Yes</v>
      </c>
      <c r="I216" t="str">
        <f t="shared" ca="1" si="36"/>
        <v>Yes</v>
      </c>
      <c r="J216" t="str">
        <f t="shared" ca="1" si="37"/>
        <v>Low</v>
      </c>
      <c r="K216" t="str">
        <f t="shared" ca="1" si="38"/>
        <v>Pass</v>
      </c>
      <c r="L216" s="4" t="str" cm="1">
        <f t="array" aca="1" ref="L216" ca="1">_xlfn.IFS(D216&gt;=85,"A", D216&gt;=70,"B", D216&gt;=50,"C", D216&lt;50,"D")</f>
        <v>B</v>
      </c>
      <c r="M216" t="str">
        <f t="shared" ca="1" si="39"/>
        <v>Low</v>
      </c>
    </row>
    <row r="217" spans="1:13" x14ac:dyDescent="0.3">
      <c r="A217" t="s">
        <v>259</v>
      </c>
      <c r="B217" t="str">
        <f t="shared" ca="1" si="30"/>
        <v>10-C</v>
      </c>
      <c r="C217" t="str">
        <f t="shared" ca="1" si="31"/>
        <v>Science</v>
      </c>
      <c r="D217">
        <f t="shared" ca="1" si="32"/>
        <v>53.6</v>
      </c>
      <c r="E217">
        <v>100</v>
      </c>
      <c r="F217">
        <f t="shared" ca="1" si="33"/>
        <v>46</v>
      </c>
      <c r="G217" t="str">
        <f t="shared" ca="1" si="34"/>
        <v>Completed</v>
      </c>
      <c r="H217" t="str">
        <f t="shared" ca="1" si="35"/>
        <v>Yes</v>
      </c>
      <c r="I217" t="str">
        <f t="shared" ca="1" si="36"/>
        <v>Yes</v>
      </c>
      <c r="J217" t="str">
        <f t="shared" ca="1" si="37"/>
        <v>Low</v>
      </c>
      <c r="K217" t="str">
        <f t="shared" ca="1" si="38"/>
        <v>Pass</v>
      </c>
      <c r="L217" s="4" t="str" cm="1">
        <f t="array" aca="1" ref="L217" ca="1">_xlfn.IFS(D217&gt;=85,"A", D217&gt;=70,"B", D217&gt;=50,"C", D217&lt;50,"D")</f>
        <v>C</v>
      </c>
      <c r="M217" t="str">
        <f t="shared" ca="1" si="39"/>
        <v>Low</v>
      </c>
    </row>
    <row r="218" spans="1:13" x14ac:dyDescent="0.3">
      <c r="A218" t="s">
        <v>260</v>
      </c>
      <c r="B218" t="str">
        <f t="shared" ca="1" si="30"/>
        <v>10-B</v>
      </c>
      <c r="C218" t="str">
        <f t="shared" ca="1" si="31"/>
        <v>Math</v>
      </c>
      <c r="D218">
        <f t="shared" ca="1" si="32"/>
        <v>53</v>
      </c>
      <c r="E218">
        <v>100</v>
      </c>
      <c r="F218">
        <f t="shared" ca="1" si="33"/>
        <v>100</v>
      </c>
      <c r="G218" t="str">
        <f t="shared" ca="1" si="34"/>
        <v>None</v>
      </c>
      <c r="H218" t="str">
        <f t="shared" ca="1" si="35"/>
        <v>No</v>
      </c>
      <c r="I218" t="str">
        <f t="shared" ca="1" si="36"/>
        <v>Yes</v>
      </c>
      <c r="J218" t="str">
        <f t="shared" ca="1" si="37"/>
        <v>Low</v>
      </c>
      <c r="K218" t="str">
        <f t="shared" ca="1" si="38"/>
        <v>Pass</v>
      </c>
      <c r="L218" s="4" t="str" cm="1">
        <f t="array" aca="1" ref="L218" ca="1">_xlfn.IFS(D218&gt;=85,"A", D218&gt;=70,"B", D218&gt;=50,"C", D218&lt;50,"D")</f>
        <v>C</v>
      </c>
      <c r="M218" t="str">
        <f t="shared" ca="1" si="39"/>
        <v>High</v>
      </c>
    </row>
    <row r="219" spans="1:13" x14ac:dyDescent="0.3">
      <c r="A219" t="s">
        <v>261</v>
      </c>
      <c r="B219" t="str">
        <f t="shared" ca="1" si="30"/>
        <v>10-B</v>
      </c>
      <c r="C219" t="str">
        <f t="shared" ca="1" si="31"/>
        <v>Science</v>
      </c>
      <c r="D219">
        <f t="shared" ca="1" si="32"/>
        <v>75.5</v>
      </c>
      <c r="E219">
        <v>100</v>
      </c>
      <c r="F219">
        <f t="shared" ca="1" si="33"/>
        <v>85</v>
      </c>
      <c r="G219" t="str">
        <f t="shared" ca="1" si="34"/>
        <v>None</v>
      </c>
      <c r="H219" t="str">
        <f t="shared" ca="1" si="35"/>
        <v>No</v>
      </c>
      <c r="I219" t="str">
        <f t="shared" ca="1" si="36"/>
        <v>No</v>
      </c>
      <c r="J219" t="str">
        <f t="shared" ca="1" si="37"/>
        <v>High</v>
      </c>
      <c r="K219" t="str">
        <f t="shared" ca="1" si="38"/>
        <v>Pass</v>
      </c>
      <c r="L219" s="4" t="str" cm="1">
        <f t="array" aca="1" ref="L219" ca="1">_xlfn.IFS(D219&gt;=85,"A", D219&gt;=70,"B", D219&gt;=50,"C", D219&lt;50,"D")</f>
        <v>B</v>
      </c>
      <c r="M219" t="str">
        <f t="shared" ca="1" si="39"/>
        <v>High</v>
      </c>
    </row>
    <row r="220" spans="1:13" x14ac:dyDescent="0.3">
      <c r="A220" t="s">
        <v>262</v>
      </c>
      <c r="B220" t="str">
        <f t="shared" ca="1" si="30"/>
        <v>10-B</v>
      </c>
      <c r="C220" t="str">
        <f t="shared" ca="1" si="31"/>
        <v>Math</v>
      </c>
      <c r="D220">
        <f t="shared" ca="1" si="32"/>
        <v>39.700000000000003</v>
      </c>
      <c r="E220">
        <v>100</v>
      </c>
      <c r="F220">
        <f t="shared" ca="1" si="33"/>
        <v>67</v>
      </c>
      <c r="G220" t="str">
        <f t="shared" ca="1" si="34"/>
        <v>Completed</v>
      </c>
      <c r="H220" t="str">
        <f t="shared" ca="1" si="35"/>
        <v>No</v>
      </c>
      <c r="I220" t="str">
        <f t="shared" ca="1" si="36"/>
        <v>No</v>
      </c>
      <c r="J220" t="str">
        <f t="shared" ca="1" si="37"/>
        <v>Critical</v>
      </c>
      <c r="K220" t="str">
        <f t="shared" ca="1" si="38"/>
        <v>Fail</v>
      </c>
      <c r="L220" s="4" t="str" cm="1">
        <f t="array" aca="1" ref="L220" ca="1">_xlfn.IFS(D220&gt;=85,"A", D220&gt;=70,"B", D220&gt;=50,"C", D220&lt;50,"D")</f>
        <v>D</v>
      </c>
      <c r="M220" t="str">
        <f t="shared" ca="1" si="39"/>
        <v>Low</v>
      </c>
    </row>
    <row r="221" spans="1:13" x14ac:dyDescent="0.3">
      <c r="A221" t="s">
        <v>263</v>
      </c>
      <c r="B221" t="str">
        <f t="shared" ca="1" si="30"/>
        <v>10-C</v>
      </c>
      <c r="C221" t="str">
        <f t="shared" ca="1" si="31"/>
        <v>Math</v>
      </c>
      <c r="D221">
        <f t="shared" ca="1" si="32"/>
        <v>77</v>
      </c>
      <c r="E221">
        <v>100</v>
      </c>
      <c r="F221">
        <f t="shared" ca="1" si="33"/>
        <v>70</v>
      </c>
      <c r="G221" t="str">
        <f t="shared" ca="1" si="34"/>
        <v>None</v>
      </c>
      <c r="H221" t="str">
        <f t="shared" ca="1" si="35"/>
        <v>No</v>
      </c>
      <c r="I221" t="str">
        <f t="shared" ca="1" si="36"/>
        <v>No</v>
      </c>
      <c r="J221" t="str">
        <f t="shared" ca="1" si="37"/>
        <v>High</v>
      </c>
      <c r="K221" t="str">
        <f t="shared" ca="1" si="38"/>
        <v>Pass</v>
      </c>
      <c r="L221" s="4" t="str" cm="1">
        <f t="array" aca="1" ref="L221" ca="1">_xlfn.IFS(D221&gt;=85,"A", D221&gt;=70,"B", D221&gt;=50,"C", D221&lt;50,"D")</f>
        <v>B</v>
      </c>
      <c r="M221" t="str">
        <f t="shared" ca="1" si="39"/>
        <v>Low</v>
      </c>
    </row>
    <row r="222" spans="1:13" x14ac:dyDescent="0.3">
      <c r="A222" t="s">
        <v>264</v>
      </c>
      <c r="B222" t="str">
        <f t="shared" ca="1" si="30"/>
        <v>10-C</v>
      </c>
      <c r="C222" t="str">
        <f t="shared" ca="1" si="31"/>
        <v>Math</v>
      </c>
      <c r="D222">
        <f t="shared" ca="1" si="32"/>
        <v>58.7</v>
      </c>
      <c r="E222">
        <v>100</v>
      </c>
      <c r="F222">
        <f t="shared" ca="1" si="33"/>
        <v>97</v>
      </c>
      <c r="G222" t="str">
        <f t="shared" ca="1" si="34"/>
        <v>Completed</v>
      </c>
      <c r="H222" t="str">
        <f t="shared" ca="1" si="35"/>
        <v>No</v>
      </c>
      <c r="I222" t="str">
        <f t="shared" ca="1" si="36"/>
        <v>Yes</v>
      </c>
      <c r="J222" t="str">
        <f t="shared" ca="1" si="37"/>
        <v>Low</v>
      </c>
      <c r="K222" t="str">
        <f t="shared" ca="1" si="38"/>
        <v>Pass</v>
      </c>
      <c r="L222" s="4" t="str" cm="1">
        <f t="array" aca="1" ref="L222" ca="1">_xlfn.IFS(D222&gt;=85,"A", D222&gt;=70,"B", D222&gt;=50,"C", D222&lt;50,"D")</f>
        <v>C</v>
      </c>
      <c r="M222" t="str">
        <f t="shared" ca="1" si="39"/>
        <v>High</v>
      </c>
    </row>
    <row r="223" spans="1:13" x14ac:dyDescent="0.3">
      <c r="A223" t="s">
        <v>265</v>
      </c>
      <c r="B223" t="str">
        <f t="shared" ca="1" si="30"/>
        <v>10-C</v>
      </c>
      <c r="C223" t="str">
        <f t="shared" ca="1" si="31"/>
        <v>Science</v>
      </c>
      <c r="D223">
        <f t="shared" ca="1" si="32"/>
        <v>63.3</v>
      </c>
      <c r="E223">
        <v>100</v>
      </c>
      <c r="F223">
        <f t="shared" ca="1" si="33"/>
        <v>83</v>
      </c>
      <c r="G223" t="str">
        <f t="shared" ca="1" si="34"/>
        <v>None</v>
      </c>
      <c r="H223" t="str">
        <f t="shared" ca="1" si="35"/>
        <v>No</v>
      </c>
      <c r="I223" t="str">
        <f t="shared" ca="1" si="36"/>
        <v>Yes</v>
      </c>
      <c r="J223" t="str">
        <f t="shared" ca="1" si="37"/>
        <v>Low</v>
      </c>
      <c r="K223" t="str">
        <f t="shared" ca="1" si="38"/>
        <v>Pass</v>
      </c>
      <c r="L223" s="4" t="str" cm="1">
        <f t="array" aca="1" ref="L223" ca="1">_xlfn.IFS(D223&gt;=85,"A", D223&gt;=70,"B", D223&gt;=50,"C", D223&lt;50,"D")</f>
        <v>C</v>
      </c>
      <c r="M223" t="str">
        <f t="shared" ca="1" si="39"/>
        <v>Medium</v>
      </c>
    </row>
    <row r="224" spans="1:13" x14ac:dyDescent="0.3">
      <c r="A224" t="s">
        <v>266</v>
      </c>
      <c r="B224" t="str">
        <f t="shared" ca="1" si="30"/>
        <v>10-A</v>
      </c>
      <c r="C224" t="str">
        <f t="shared" ca="1" si="31"/>
        <v>English</v>
      </c>
      <c r="D224">
        <f t="shared" ca="1" si="32"/>
        <v>48</v>
      </c>
      <c r="E224">
        <v>100</v>
      </c>
      <c r="F224">
        <f t="shared" ca="1" si="33"/>
        <v>60</v>
      </c>
      <c r="G224" t="str">
        <f t="shared" ca="1" si="34"/>
        <v>None</v>
      </c>
      <c r="H224" t="str">
        <f t="shared" ca="1" si="35"/>
        <v>No</v>
      </c>
      <c r="I224" t="str">
        <f t="shared" ca="1" si="36"/>
        <v>No</v>
      </c>
      <c r="J224" t="str">
        <f t="shared" ca="1" si="37"/>
        <v>Critical</v>
      </c>
      <c r="K224" t="str">
        <f t="shared" ca="1" si="38"/>
        <v>Pass</v>
      </c>
      <c r="L224" s="4" t="str" cm="1">
        <f t="array" aca="1" ref="L224" ca="1">_xlfn.IFS(D224&gt;=85,"A", D224&gt;=70,"B", D224&gt;=50,"C", D224&lt;50,"D")</f>
        <v>D</v>
      </c>
      <c r="M224" t="str">
        <f t="shared" ca="1" si="39"/>
        <v>Low</v>
      </c>
    </row>
    <row r="225" spans="1:13" x14ac:dyDescent="0.3">
      <c r="A225" t="s">
        <v>267</v>
      </c>
      <c r="B225" t="str">
        <f t="shared" ca="1" si="30"/>
        <v>10-C</v>
      </c>
      <c r="C225" t="str">
        <f t="shared" ca="1" si="31"/>
        <v>English</v>
      </c>
      <c r="D225">
        <f t="shared" ca="1" si="32"/>
        <v>63.5</v>
      </c>
      <c r="E225">
        <v>100</v>
      </c>
      <c r="F225">
        <f t="shared" ca="1" si="33"/>
        <v>85</v>
      </c>
      <c r="G225" t="str">
        <f t="shared" ca="1" si="34"/>
        <v>Completed</v>
      </c>
      <c r="H225" t="str">
        <f t="shared" ca="1" si="35"/>
        <v>Yes</v>
      </c>
      <c r="I225" t="str">
        <f t="shared" ca="1" si="36"/>
        <v>Yes</v>
      </c>
      <c r="J225" t="str">
        <f t="shared" ca="1" si="37"/>
        <v>Low</v>
      </c>
      <c r="K225" t="str">
        <f t="shared" ca="1" si="38"/>
        <v>Pass</v>
      </c>
      <c r="L225" s="4" t="str" cm="1">
        <f t="array" aca="1" ref="L225" ca="1">_xlfn.IFS(D225&gt;=85,"A", D225&gt;=70,"B", D225&gt;=50,"C", D225&lt;50,"D")</f>
        <v>C</v>
      </c>
      <c r="M225" t="str">
        <f t="shared" ca="1" si="39"/>
        <v>High</v>
      </c>
    </row>
    <row r="226" spans="1:13" x14ac:dyDescent="0.3">
      <c r="A226" t="s">
        <v>268</v>
      </c>
      <c r="B226" t="str">
        <f t="shared" ca="1" si="30"/>
        <v>10-C</v>
      </c>
      <c r="C226" t="str">
        <f t="shared" ca="1" si="31"/>
        <v>English</v>
      </c>
      <c r="D226">
        <f t="shared" ca="1" si="32"/>
        <v>44.1</v>
      </c>
      <c r="E226">
        <v>100</v>
      </c>
      <c r="F226">
        <f t="shared" ca="1" si="33"/>
        <v>91</v>
      </c>
      <c r="G226" t="str">
        <f t="shared" ca="1" si="34"/>
        <v>None</v>
      </c>
      <c r="H226" t="str">
        <f t="shared" ca="1" si="35"/>
        <v>Yes</v>
      </c>
      <c r="I226" t="str">
        <f t="shared" ca="1" si="36"/>
        <v>Yes</v>
      </c>
      <c r="J226" t="str">
        <f t="shared" ca="1" si="37"/>
        <v>Medium</v>
      </c>
      <c r="K226" t="str">
        <f t="shared" ca="1" si="38"/>
        <v>Pass</v>
      </c>
      <c r="L226" s="4" t="str" cm="1">
        <f t="array" aca="1" ref="L226" ca="1">_xlfn.IFS(D226&gt;=85,"A", D226&gt;=70,"B", D226&gt;=50,"C", D226&lt;50,"D")</f>
        <v>D</v>
      </c>
      <c r="M226" t="str">
        <f t="shared" ca="1" si="39"/>
        <v>High</v>
      </c>
    </row>
    <row r="227" spans="1:13" x14ac:dyDescent="0.3">
      <c r="A227" t="s">
        <v>269</v>
      </c>
      <c r="B227" t="str">
        <f t="shared" ca="1" si="30"/>
        <v>10-C</v>
      </c>
      <c r="C227" t="str">
        <f t="shared" ca="1" si="31"/>
        <v>Math</v>
      </c>
      <c r="D227">
        <f t="shared" ca="1" si="32"/>
        <v>79</v>
      </c>
      <c r="E227">
        <v>100</v>
      </c>
      <c r="F227">
        <f t="shared" ca="1" si="33"/>
        <v>100</v>
      </c>
      <c r="G227" t="str">
        <f t="shared" ca="1" si="34"/>
        <v>None</v>
      </c>
      <c r="H227" t="str">
        <f t="shared" ca="1" si="35"/>
        <v>Yes</v>
      </c>
      <c r="I227" t="str">
        <f t="shared" ca="1" si="36"/>
        <v>Yes</v>
      </c>
      <c r="J227" t="str">
        <f t="shared" ca="1" si="37"/>
        <v>Low</v>
      </c>
      <c r="K227" t="str">
        <f t="shared" ca="1" si="38"/>
        <v>Pass</v>
      </c>
      <c r="L227" s="4" t="str" cm="1">
        <f t="array" aca="1" ref="L227" ca="1">_xlfn.IFS(D227&gt;=85,"A", D227&gt;=70,"B", D227&gt;=50,"C", D227&lt;50,"D")</f>
        <v>B</v>
      </c>
      <c r="M227" t="str">
        <f t="shared" ca="1" si="39"/>
        <v>High</v>
      </c>
    </row>
    <row r="228" spans="1:13" x14ac:dyDescent="0.3">
      <c r="A228" t="s">
        <v>270</v>
      </c>
      <c r="B228" t="str">
        <f t="shared" ca="1" si="30"/>
        <v>10-B</v>
      </c>
      <c r="C228" t="str">
        <f t="shared" ca="1" si="31"/>
        <v>Math</v>
      </c>
      <c r="D228">
        <f t="shared" ca="1" si="32"/>
        <v>75.3</v>
      </c>
      <c r="E228">
        <v>100</v>
      </c>
      <c r="F228">
        <f t="shared" ca="1" si="33"/>
        <v>63</v>
      </c>
      <c r="G228" t="str">
        <f t="shared" ca="1" si="34"/>
        <v>None</v>
      </c>
      <c r="H228" t="str">
        <f t="shared" ca="1" si="35"/>
        <v>No</v>
      </c>
      <c r="I228" t="str">
        <f t="shared" ca="1" si="36"/>
        <v>Yes</v>
      </c>
      <c r="J228" t="str">
        <f t="shared" ca="1" si="37"/>
        <v>Low</v>
      </c>
      <c r="K228" t="str">
        <f t="shared" ca="1" si="38"/>
        <v>Pass</v>
      </c>
      <c r="L228" s="4" t="str" cm="1">
        <f t="array" aca="1" ref="L228" ca="1">_xlfn.IFS(D228&gt;=85,"A", D228&gt;=70,"B", D228&gt;=50,"C", D228&lt;50,"D")</f>
        <v>B</v>
      </c>
      <c r="M228" t="str">
        <f t="shared" ca="1" si="39"/>
        <v>Low</v>
      </c>
    </row>
    <row r="229" spans="1:13" x14ac:dyDescent="0.3">
      <c r="A229" t="s">
        <v>271</v>
      </c>
      <c r="B229" t="str">
        <f t="shared" ca="1" si="30"/>
        <v>10-C</v>
      </c>
      <c r="C229" t="str">
        <f t="shared" ca="1" si="31"/>
        <v>Math</v>
      </c>
      <c r="D229">
        <f t="shared" ca="1" si="32"/>
        <v>57.7</v>
      </c>
      <c r="E229">
        <v>100</v>
      </c>
      <c r="F229">
        <f t="shared" ca="1" si="33"/>
        <v>87</v>
      </c>
      <c r="G229" t="str">
        <f t="shared" ca="1" si="34"/>
        <v>Completed</v>
      </c>
      <c r="H229" t="str">
        <f t="shared" ca="1" si="35"/>
        <v>No</v>
      </c>
      <c r="I229" t="str">
        <f t="shared" ca="1" si="36"/>
        <v>No</v>
      </c>
      <c r="J229" t="str">
        <f t="shared" ca="1" si="37"/>
        <v>High</v>
      </c>
      <c r="K229" t="str">
        <f t="shared" ca="1" si="38"/>
        <v>Pass</v>
      </c>
      <c r="L229" s="4" t="str" cm="1">
        <f t="array" aca="1" ref="L229" ca="1">_xlfn.IFS(D229&gt;=85,"A", D229&gt;=70,"B", D229&gt;=50,"C", D229&lt;50,"D")</f>
        <v>C</v>
      </c>
      <c r="M229" t="str">
        <f t="shared" ca="1" si="39"/>
        <v>High</v>
      </c>
    </row>
    <row r="230" spans="1:13" x14ac:dyDescent="0.3">
      <c r="A230" t="s">
        <v>272</v>
      </c>
      <c r="B230" t="str">
        <f t="shared" ca="1" si="30"/>
        <v>10-C</v>
      </c>
      <c r="C230" t="str">
        <f t="shared" ca="1" si="31"/>
        <v>Science</v>
      </c>
      <c r="D230">
        <f t="shared" ca="1" si="32"/>
        <v>78.400000000000006</v>
      </c>
      <c r="E230">
        <v>100</v>
      </c>
      <c r="F230">
        <f t="shared" ca="1" si="33"/>
        <v>84</v>
      </c>
      <c r="G230" t="str">
        <f t="shared" ca="1" si="34"/>
        <v>Completed</v>
      </c>
      <c r="H230" t="str">
        <f t="shared" ca="1" si="35"/>
        <v>Yes</v>
      </c>
      <c r="I230" t="str">
        <f t="shared" ca="1" si="36"/>
        <v>Yes</v>
      </c>
      <c r="J230" t="str">
        <f t="shared" ca="1" si="37"/>
        <v>Low</v>
      </c>
      <c r="K230" t="str">
        <f t="shared" ca="1" si="38"/>
        <v>Pass</v>
      </c>
      <c r="L230" s="4" t="str" cm="1">
        <f t="array" aca="1" ref="L230" ca="1">_xlfn.IFS(D230&gt;=85,"A", D230&gt;=70,"B", D230&gt;=50,"C", D230&lt;50,"D")</f>
        <v>B</v>
      </c>
      <c r="M230" t="str">
        <f t="shared" ca="1" si="39"/>
        <v>Medium</v>
      </c>
    </row>
    <row r="231" spans="1:13" x14ac:dyDescent="0.3">
      <c r="A231" t="s">
        <v>273</v>
      </c>
      <c r="B231" t="str">
        <f t="shared" ca="1" si="30"/>
        <v>10-C</v>
      </c>
      <c r="C231" t="str">
        <f t="shared" ca="1" si="31"/>
        <v>English</v>
      </c>
      <c r="D231">
        <f t="shared" ca="1" si="32"/>
        <v>50.4</v>
      </c>
      <c r="E231">
        <v>100</v>
      </c>
      <c r="F231">
        <f t="shared" ca="1" si="33"/>
        <v>84</v>
      </c>
      <c r="G231" t="str">
        <f t="shared" ca="1" si="34"/>
        <v>Completed</v>
      </c>
      <c r="H231" t="str">
        <f t="shared" ca="1" si="35"/>
        <v>No</v>
      </c>
      <c r="I231" t="str">
        <f t="shared" ca="1" si="36"/>
        <v>No</v>
      </c>
      <c r="J231" t="str">
        <f t="shared" ca="1" si="37"/>
        <v>High</v>
      </c>
      <c r="K231" t="str">
        <f t="shared" ca="1" si="38"/>
        <v>Pass</v>
      </c>
      <c r="L231" s="4" t="str" cm="1">
        <f t="array" aca="1" ref="L231" ca="1">_xlfn.IFS(D231&gt;=85,"A", D231&gt;=70,"B", D231&gt;=50,"C", D231&lt;50,"D")</f>
        <v>C</v>
      </c>
      <c r="M231" t="str">
        <f t="shared" ca="1" si="39"/>
        <v>Medium</v>
      </c>
    </row>
    <row r="232" spans="1:13" x14ac:dyDescent="0.3">
      <c r="A232" t="s">
        <v>274</v>
      </c>
      <c r="B232" t="str">
        <f t="shared" ca="1" si="30"/>
        <v>10-A</v>
      </c>
      <c r="C232" t="str">
        <f t="shared" ca="1" si="31"/>
        <v>Math</v>
      </c>
      <c r="D232">
        <f t="shared" ca="1" si="32"/>
        <v>36</v>
      </c>
      <c r="E232">
        <v>100</v>
      </c>
      <c r="F232">
        <f t="shared" ca="1" si="33"/>
        <v>40</v>
      </c>
      <c r="G232" t="str">
        <f t="shared" ca="1" si="34"/>
        <v>Completed</v>
      </c>
      <c r="H232" t="str">
        <f t="shared" ca="1" si="35"/>
        <v>Yes</v>
      </c>
      <c r="I232" t="str">
        <f t="shared" ca="1" si="36"/>
        <v>No</v>
      </c>
      <c r="J232" t="str">
        <f t="shared" ca="1" si="37"/>
        <v>Critical</v>
      </c>
      <c r="K232" t="str">
        <f t="shared" ca="1" si="38"/>
        <v>Fail</v>
      </c>
      <c r="L232" s="4" t="str" cm="1">
        <f t="array" aca="1" ref="L232" ca="1">_xlfn.IFS(D232&gt;=85,"A", D232&gt;=70,"B", D232&gt;=50,"C", D232&lt;50,"D")</f>
        <v>D</v>
      </c>
      <c r="M232" t="str">
        <f t="shared" ca="1" si="39"/>
        <v>Low</v>
      </c>
    </row>
    <row r="233" spans="1:13" x14ac:dyDescent="0.3">
      <c r="A233" t="s">
        <v>275</v>
      </c>
      <c r="B233" t="str">
        <f t="shared" ca="1" si="30"/>
        <v>10-C</v>
      </c>
      <c r="C233" t="str">
        <f t="shared" ca="1" si="31"/>
        <v>Math</v>
      </c>
      <c r="D233">
        <f t="shared" ca="1" si="32"/>
        <v>47.1</v>
      </c>
      <c r="E233">
        <v>100</v>
      </c>
      <c r="F233">
        <f t="shared" ca="1" si="33"/>
        <v>71</v>
      </c>
      <c r="G233" t="str">
        <f t="shared" ca="1" si="34"/>
        <v>None</v>
      </c>
      <c r="H233" t="str">
        <f t="shared" ca="1" si="35"/>
        <v>Yes</v>
      </c>
      <c r="I233" t="str">
        <f t="shared" ca="1" si="36"/>
        <v>Yes</v>
      </c>
      <c r="J233" t="str">
        <f t="shared" ca="1" si="37"/>
        <v>Medium</v>
      </c>
      <c r="K233" t="str">
        <f t="shared" ca="1" si="38"/>
        <v>Pass</v>
      </c>
      <c r="L233" s="4" t="str" cm="1">
        <f t="array" aca="1" ref="L233" ca="1">_xlfn.IFS(D233&gt;=85,"A", D233&gt;=70,"B", D233&gt;=50,"C", D233&lt;50,"D")</f>
        <v>D</v>
      </c>
      <c r="M233" t="str">
        <f t="shared" ca="1" si="39"/>
        <v>Low</v>
      </c>
    </row>
    <row r="234" spans="1:13" x14ac:dyDescent="0.3">
      <c r="A234" t="s">
        <v>276</v>
      </c>
      <c r="B234" t="str">
        <f t="shared" ca="1" si="30"/>
        <v>10-B</v>
      </c>
      <c r="C234" t="str">
        <f t="shared" ca="1" si="31"/>
        <v>Math</v>
      </c>
      <c r="D234">
        <f t="shared" ca="1" si="32"/>
        <v>53.9</v>
      </c>
      <c r="E234">
        <v>100</v>
      </c>
      <c r="F234">
        <f t="shared" ca="1" si="33"/>
        <v>79</v>
      </c>
      <c r="G234" t="str">
        <f t="shared" ca="1" si="34"/>
        <v>None</v>
      </c>
      <c r="H234" t="str">
        <f t="shared" ca="1" si="35"/>
        <v>No</v>
      </c>
      <c r="I234" t="str">
        <f t="shared" ca="1" si="36"/>
        <v>Yes</v>
      </c>
      <c r="J234" t="str">
        <f t="shared" ca="1" si="37"/>
        <v>Low</v>
      </c>
      <c r="K234" t="str">
        <f t="shared" ca="1" si="38"/>
        <v>Pass</v>
      </c>
      <c r="L234" s="4" t="str" cm="1">
        <f t="array" aca="1" ref="L234" ca="1">_xlfn.IFS(D234&gt;=85,"A", D234&gt;=70,"B", D234&gt;=50,"C", D234&lt;50,"D")</f>
        <v>C</v>
      </c>
      <c r="M234" t="str">
        <f t="shared" ca="1" si="39"/>
        <v>Medium</v>
      </c>
    </row>
    <row r="235" spans="1:13" x14ac:dyDescent="0.3">
      <c r="A235" t="s">
        <v>277</v>
      </c>
      <c r="B235" t="str">
        <f t="shared" ca="1" si="30"/>
        <v>10-C</v>
      </c>
      <c r="C235" t="str">
        <f t="shared" ca="1" si="31"/>
        <v>Math</v>
      </c>
      <c r="D235">
        <f t="shared" ca="1" si="32"/>
        <v>57.7</v>
      </c>
      <c r="E235">
        <v>100</v>
      </c>
      <c r="F235">
        <f t="shared" ca="1" si="33"/>
        <v>47</v>
      </c>
      <c r="G235" t="str">
        <f t="shared" ca="1" si="34"/>
        <v>Completed</v>
      </c>
      <c r="H235" t="str">
        <f t="shared" ca="1" si="35"/>
        <v>No</v>
      </c>
      <c r="I235" t="str">
        <f t="shared" ca="1" si="36"/>
        <v>No</v>
      </c>
      <c r="J235" t="str">
        <f t="shared" ca="1" si="37"/>
        <v>High</v>
      </c>
      <c r="K235" t="str">
        <f t="shared" ca="1" si="38"/>
        <v>Pass</v>
      </c>
      <c r="L235" s="4" t="str" cm="1">
        <f t="array" aca="1" ref="L235" ca="1">_xlfn.IFS(D235&gt;=85,"A", D235&gt;=70,"B", D235&gt;=50,"C", D235&lt;50,"D")</f>
        <v>C</v>
      </c>
      <c r="M235" t="str">
        <f t="shared" ca="1" si="39"/>
        <v>Low</v>
      </c>
    </row>
    <row r="236" spans="1:13" x14ac:dyDescent="0.3">
      <c r="A236" t="s">
        <v>278</v>
      </c>
      <c r="B236" t="str">
        <f t="shared" ca="1" si="30"/>
        <v>10-C</v>
      </c>
      <c r="C236" t="str">
        <f t="shared" ca="1" si="31"/>
        <v>English</v>
      </c>
      <c r="D236">
        <f t="shared" ca="1" si="32"/>
        <v>47.3</v>
      </c>
      <c r="E236">
        <v>100</v>
      </c>
      <c r="F236">
        <f t="shared" ca="1" si="33"/>
        <v>43</v>
      </c>
      <c r="G236" t="str">
        <f t="shared" ca="1" si="34"/>
        <v>Completed</v>
      </c>
      <c r="H236" t="str">
        <f t="shared" ca="1" si="35"/>
        <v>No</v>
      </c>
      <c r="I236" t="str">
        <f t="shared" ca="1" si="36"/>
        <v>Yes</v>
      </c>
      <c r="J236" t="str">
        <f t="shared" ca="1" si="37"/>
        <v>Medium</v>
      </c>
      <c r="K236" t="str">
        <f t="shared" ca="1" si="38"/>
        <v>Pass</v>
      </c>
      <c r="L236" s="4" t="str" cm="1">
        <f t="array" aca="1" ref="L236" ca="1">_xlfn.IFS(D236&gt;=85,"A", D236&gt;=70,"B", D236&gt;=50,"C", D236&lt;50,"D")</f>
        <v>D</v>
      </c>
      <c r="M236" t="str">
        <f t="shared" ca="1" si="39"/>
        <v>Low</v>
      </c>
    </row>
    <row r="237" spans="1:13" x14ac:dyDescent="0.3">
      <c r="A237" t="s">
        <v>279</v>
      </c>
      <c r="B237" t="str">
        <f t="shared" ca="1" si="30"/>
        <v>10-B</v>
      </c>
      <c r="C237" t="str">
        <f t="shared" ca="1" si="31"/>
        <v>Math</v>
      </c>
      <c r="D237">
        <f t="shared" ca="1" si="32"/>
        <v>42</v>
      </c>
      <c r="E237">
        <v>100</v>
      </c>
      <c r="F237">
        <f t="shared" ca="1" si="33"/>
        <v>80</v>
      </c>
      <c r="G237" t="str">
        <f t="shared" ca="1" si="34"/>
        <v>None</v>
      </c>
      <c r="H237" t="str">
        <f t="shared" ca="1" si="35"/>
        <v>Yes</v>
      </c>
      <c r="I237" t="str">
        <f t="shared" ca="1" si="36"/>
        <v>Yes</v>
      </c>
      <c r="J237" t="str">
        <f t="shared" ca="1" si="37"/>
        <v>Medium</v>
      </c>
      <c r="K237" t="str">
        <f t="shared" ca="1" si="38"/>
        <v>Pass</v>
      </c>
      <c r="L237" s="4" t="str" cm="1">
        <f t="array" aca="1" ref="L237" ca="1">_xlfn.IFS(D237&gt;=85,"A", D237&gt;=70,"B", D237&gt;=50,"C", D237&lt;50,"D")</f>
        <v>D</v>
      </c>
      <c r="M237" t="str">
        <f t="shared" ca="1" si="39"/>
        <v>Medium</v>
      </c>
    </row>
    <row r="238" spans="1:13" x14ac:dyDescent="0.3">
      <c r="A238" t="s">
        <v>280</v>
      </c>
      <c r="B238" t="str">
        <f t="shared" ca="1" si="30"/>
        <v>10-C</v>
      </c>
      <c r="C238" t="str">
        <f t="shared" ca="1" si="31"/>
        <v>Math</v>
      </c>
      <c r="D238">
        <f t="shared" ca="1" si="32"/>
        <v>64.8</v>
      </c>
      <c r="E238">
        <v>100</v>
      </c>
      <c r="F238">
        <f t="shared" ca="1" si="33"/>
        <v>78</v>
      </c>
      <c r="G238" t="str">
        <f t="shared" ca="1" si="34"/>
        <v>Completed</v>
      </c>
      <c r="H238" t="str">
        <f t="shared" ca="1" si="35"/>
        <v>No</v>
      </c>
      <c r="I238" t="str">
        <f t="shared" ca="1" si="36"/>
        <v>Yes</v>
      </c>
      <c r="J238" t="str">
        <f t="shared" ca="1" si="37"/>
        <v>Low</v>
      </c>
      <c r="K238" t="str">
        <f t="shared" ca="1" si="38"/>
        <v>Pass</v>
      </c>
      <c r="L238" s="4" t="str" cm="1">
        <f t="array" aca="1" ref="L238" ca="1">_xlfn.IFS(D238&gt;=85,"A", D238&gt;=70,"B", D238&gt;=50,"C", D238&lt;50,"D")</f>
        <v>C</v>
      </c>
      <c r="M238" t="str">
        <f t="shared" ca="1" si="39"/>
        <v>Medium</v>
      </c>
    </row>
    <row r="239" spans="1:13" x14ac:dyDescent="0.3">
      <c r="A239" t="s">
        <v>281</v>
      </c>
      <c r="B239" t="str">
        <f t="shared" ca="1" si="30"/>
        <v>10-B</v>
      </c>
      <c r="C239" t="str">
        <f t="shared" ca="1" si="31"/>
        <v>Science</v>
      </c>
      <c r="D239">
        <f t="shared" ca="1" si="32"/>
        <v>61</v>
      </c>
      <c r="E239">
        <v>100</v>
      </c>
      <c r="F239">
        <f t="shared" ca="1" si="33"/>
        <v>40</v>
      </c>
      <c r="G239" t="str">
        <f t="shared" ca="1" si="34"/>
        <v>Completed</v>
      </c>
      <c r="H239" t="str">
        <f t="shared" ca="1" si="35"/>
        <v>Yes</v>
      </c>
      <c r="I239" t="str">
        <f t="shared" ca="1" si="36"/>
        <v>Yes</v>
      </c>
      <c r="J239" t="str">
        <f t="shared" ca="1" si="37"/>
        <v>Low</v>
      </c>
      <c r="K239" t="str">
        <f t="shared" ca="1" si="38"/>
        <v>Pass</v>
      </c>
      <c r="L239" s="4" t="str" cm="1">
        <f t="array" aca="1" ref="L239" ca="1">_xlfn.IFS(D239&gt;=85,"A", D239&gt;=70,"B", D239&gt;=50,"C", D239&lt;50,"D")</f>
        <v>C</v>
      </c>
      <c r="M239" t="str">
        <f t="shared" ca="1" si="39"/>
        <v>Low</v>
      </c>
    </row>
    <row r="240" spans="1:13" x14ac:dyDescent="0.3">
      <c r="A240" t="s">
        <v>282</v>
      </c>
      <c r="B240" t="str">
        <f t="shared" ca="1" si="30"/>
        <v>10-C</v>
      </c>
      <c r="C240" t="str">
        <f t="shared" ca="1" si="31"/>
        <v>Science</v>
      </c>
      <c r="D240">
        <f t="shared" ca="1" si="32"/>
        <v>79.2</v>
      </c>
      <c r="E240">
        <v>100</v>
      </c>
      <c r="F240">
        <f t="shared" ca="1" si="33"/>
        <v>82</v>
      </c>
      <c r="G240" t="str">
        <f t="shared" ca="1" si="34"/>
        <v>Completed</v>
      </c>
      <c r="H240" t="str">
        <f t="shared" ca="1" si="35"/>
        <v>No</v>
      </c>
      <c r="I240" t="str">
        <f t="shared" ca="1" si="36"/>
        <v>No</v>
      </c>
      <c r="J240" t="str">
        <f t="shared" ca="1" si="37"/>
        <v>High</v>
      </c>
      <c r="K240" t="str">
        <f t="shared" ca="1" si="38"/>
        <v>Pass</v>
      </c>
      <c r="L240" s="4" t="str" cm="1">
        <f t="array" aca="1" ref="L240" ca="1">_xlfn.IFS(D240&gt;=85,"A", D240&gt;=70,"B", D240&gt;=50,"C", D240&lt;50,"D")</f>
        <v>B</v>
      </c>
      <c r="M240" t="str">
        <f t="shared" ca="1" si="39"/>
        <v>Medium</v>
      </c>
    </row>
    <row r="241" spans="1:13" x14ac:dyDescent="0.3">
      <c r="A241" t="s">
        <v>283</v>
      </c>
      <c r="B241" t="str">
        <f t="shared" ca="1" si="30"/>
        <v>10-B</v>
      </c>
      <c r="C241" t="str">
        <f t="shared" ca="1" si="31"/>
        <v>Math</v>
      </c>
      <c r="D241">
        <f t="shared" ca="1" si="32"/>
        <v>62.4</v>
      </c>
      <c r="E241">
        <v>100</v>
      </c>
      <c r="F241">
        <f t="shared" ca="1" si="33"/>
        <v>64</v>
      </c>
      <c r="G241" t="str">
        <f t="shared" ca="1" si="34"/>
        <v>None</v>
      </c>
      <c r="H241" t="str">
        <f t="shared" ca="1" si="35"/>
        <v>Yes</v>
      </c>
      <c r="I241" t="str">
        <f t="shared" ca="1" si="36"/>
        <v>Yes</v>
      </c>
      <c r="J241" t="str">
        <f t="shared" ca="1" si="37"/>
        <v>Low</v>
      </c>
      <c r="K241" t="str">
        <f t="shared" ca="1" si="38"/>
        <v>Pass</v>
      </c>
      <c r="L241" s="4" t="str" cm="1">
        <f t="array" aca="1" ref="L241" ca="1">_xlfn.IFS(D241&gt;=85,"A", D241&gt;=70,"B", D241&gt;=50,"C", D241&lt;50,"D")</f>
        <v>C</v>
      </c>
      <c r="M241" t="str">
        <f t="shared" ca="1" si="39"/>
        <v>Low</v>
      </c>
    </row>
    <row r="242" spans="1:13" x14ac:dyDescent="0.3">
      <c r="A242" t="s">
        <v>284</v>
      </c>
      <c r="B242" t="str">
        <f t="shared" ca="1" si="30"/>
        <v>10-C</v>
      </c>
      <c r="C242" t="str">
        <f t="shared" ca="1" si="31"/>
        <v>Science</v>
      </c>
      <c r="D242">
        <f t="shared" ca="1" si="32"/>
        <v>74.400000000000006</v>
      </c>
      <c r="E242">
        <v>100</v>
      </c>
      <c r="F242">
        <f t="shared" ca="1" si="33"/>
        <v>74</v>
      </c>
      <c r="G242" t="str">
        <f t="shared" ca="1" si="34"/>
        <v>Completed</v>
      </c>
      <c r="H242" t="str">
        <f t="shared" ca="1" si="35"/>
        <v>No</v>
      </c>
      <c r="I242" t="str">
        <f t="shared" ca="1" si="36"/>
        <v>No</v>
      </c>
      <c r="J242" t="str">
        <f t="shared" ca="1" si="37"/>
        <v>High</v>
      </c>
      <c r="K242" t="str">
        <f t="shared" ca="1" si="38"/>
        <v>Pass</v>
      </c>
      <c r="L242" s="4" t="str" cm="1">
        <f t="array" aca="1" ref="L242" ca="1">_xlfn.IFS(D242&gt;=85,"A", D242&gt;=70,"B", D242&gt;=50,"C", D242&lt;50,"D")</f>
        <v>B</v>
      </c>
      <c r="M242" t="str">
        <f t="shared" ca="1" si="39"/>
        <v>Low</v>
      </c>
    </row>
    <row r="243" spans="1:13" x14ac:dyDescent="0.3">
      <c r="A243" t="s">
        <v>285</v>
      </c>
      <c r="B243" t="str">
        <f t="shared" ca="1" si="30"/>
        <v>10-B</v>
      </c>
      <c r="C243" t="str">
        <f t="shared" ca="1" si="31"/>
        <v>Science</v>
      </c>
      <c r="D243">
        <f t="shared" ca="1" si="32"/>
        <v>75</v>
      </c>
      <c r="E243">
        <v>100</v>
      </c>
      <c r="F243">
        <f t="shared" ca="1" si="33"/>
        <v>50</v>
      </c>
      <c r="G243" t="str">
        <f t="shared" ca="1" si="34"/>
        <v>Completed</v>
      </c>
      <c r="H243" t="str">
        <f t="shared" ca="1" si="35"/>
        <v>Yes</v>
      </c>
      <c r="I243" t="str">
        <f t="shared" ca="1" si="36"/>
        <v>Yes</v>
      </c>
      <c r="J243" t="str">
        <f t="shared" ca="1" si="37"/>
        <v>Low</v>
      </c>
      <c r="K243" t="str">
        <f t="shared" ca="1" si="38"/>
        <v>Pass</v>
      </c>
      <c r="L243" s="4" t="str" cm="1">
        <f t="array" aca="1" ref="L243" ca="1">_xlfn.IFS(D243&gt;=85,"A", D243&gt;=70,"B", D243&gt;=50,"C", D243&lt;50,"D")</f>
        <v>B</v>
      </c>
      <c r="M243" t="str">
        <f t="shared" ca="1" si="39"/>
        <v>Low</v>
      </c>
    </row>
    <row r="244" spans="1:13" x14ac:dyDescent="0.3">
      <c r="A244" t="s">
        <v>286</v>
      </c>
      <c r="B244" t="str">
        <f t="shared" ca="1" si="30"/>
        <v>10-C</v>
      </c>
      <c r="C244" t="str">
        <f t="shared" ca="1" si="31"/>
        <v>Math</v>
      </c>
      <c r="D244">
        <f t="shared" ca="1" si="32"/>
        <v>58.7</v>
      </c>
      <c r="E244">
        <v>100</v>
      </c>
      <c r="F244">
        <f t="shared" ca="1" si="33"/>
        <v>57</v>
      </c>
      <c r="G244" t="str">
        <f t="shared" ca="1" si="34"/>
        <v>Completed</v>
      </c>
      <c r="H244" t="str">
        <f t="shared" ca="1" si="35"/>
        <v>No</v>
      </c>
      <c r="I244" t="str">
        <f t="shared" ca="1" si="36"/>
        <v>Yes</v>
      </c>
      <c r="J244" t="str">
        <f t="shared" ca="1" si="37"/>
        <v>Low</v>
      </c>
      <c r="K244" t="str">
        <f t="shared" ca="1" si="38"/>
        <v>Pass</v>
      </c>
      <c r="L244" s="4" t="str" cm="1">
        <f t="array" aca="1" ref="L244" ca="1">_xlfn.IFS(D244&gt;=85,"A", D244&gt;=70,"B", D244&gt;=50,"C", D244&lt;50,"D")</f>
        <v>C</v>
      </c>
      <c r="M244" t="str">
        <f t="shared" ca="1" si="39"/>
        <v>Low</v>
      </c>
    </row>
    <row r="245" spans="1:13" x14ac:dyDescent="0.3">
      <c r="A245" t="s">
        <v>287</v>
      </c>
      <c r="B245" t="str">
        <f t="shared" ca="1" si="30"/>
        <v>10-C</v>
      </c>
      <c r="C245" t="str">
        <f t="shared" ca="1" si="31"/>
        <v>English</v>
      </c>
      <c r="D245">
        <f t="shared" ca="1" si="32"/>
        <v>58.6</v>
      </c>
      <c r="E245">
        <v>100</v>
      </c>
      <c r="F245">
        <f t="shared" ca="1" si="33"/>
        <v>86</v>
      </c>
      <c r="G245" t="str">
        <f t="shared" ca="1" si="34"/>
        <v>None</v>
      </c>
      <c r="H245" t="str">
        <f t="shared" ca="1" si="35"/>
        <v>Yes</v>
      </c>
      <c r="I245" t="str">
        <f t="shared" ca="1" si="36"/>
        <v>Yes</v>
      </c>
      <c r="J245" t="str">
        <f t="shared" ca="1" si="37"/>
        <v>Low</v>
      </c>
      <c r="K245" t="str">
        <f t="shared" ca="1" si="38"/>
        <v>Pass</v>
      </c>
      <c r="L245" s="4" t="str" cm="1">
        <f t="array" aca="1" ref="L245" ca="1">_xlfn.IFS(D245&gt;=85,"A", D245&gt;=70,"B", D245&gt;=50,"C", D245&lt;50,"D")</f>
        <v>C</v>
      </c>
      <c r="M245" t="str">
        <f t="shared" ca="1" si="39"/>
        <v>High</v>
      </c>
    </row>
    <row r="246" spans="1:13" x14ac:dyDescent="0.3">
      <c r="A246" t="s">
        <v>288</v>
      </c>
      <c r="B246" t="str">
        <f t="shared" ca="1" si="30"/>
        <v>10-B</v>
      </c>
      <c r="C246" t="str">
        <f t="shared" ca="1" si="31"/>
        <v>English</v>
      </c>
      <c r="D246">
        <f t="shared" ca="1" si="32"/>
        <v>73.2</v>
      </c>
      <c r="E246">
        <v>100</v>
      </c>
      <c r="F246">
        <f t="shared" ca="1" si="33"/>
        <v>92</v>
      </c>
      <c r="G246" t="str">
        <f t="shared" ca="1" si="34"/>
        <v>Completed</v>
      </c>
      <c r="H246" t="str">
        <f t="shared" ca="1" si="35"/>
        <v>Yes</v>
      </c>
      <c r="I246" t="str">
        <f t="shared" ca="1" si="36"/>
        <v>Yes</v>
      </c>
      <c r="J246" t="str">
        <f t="shared" ca="1" si="37"/>
        <v>Low</v>
      </c>
      <c r="K246" t="str">
        <f t="shared" ca="1" si="38"/>
        <v>Pass</v>
      </c>
      <c r="L246" s="4" t="str" cm="1">
        <f t="array" aca="1" ref="L246" ca="1">_xlfn.IFS(D246&gt;=85,"A", D246&gt;=70,"B", D246&gt;=50,"C", D246&lt;50,"D")</f>
        <v>B</v>
      </c>
      <c r="M246" t="str">
        <f t="shared" ca="1" si="39"/>
        <v>High</v>
      </c>
    </row>
    <row r="247" spans="1:13" x14ac:dyDescent="0.3">
      <c r="A247" t="s">
        <v>289</v>
      </c>
      <c r="B247" t="str">
        <f t="shared" ca="1" si="30"/>
        <v>10-A</v>
      </c>
      <c r="C247" t="str">
        <f t="shared" ca="1" si="31"/>
        <v>Math</v>
      </c>
      <c r="D247">
        <f t="shared" ca="1" si="32"/>
        <v>74.8</v>
      </c>
      <c r="E247">
        <v>100</v>
      </c>
      <c r="F247">
        <f t="shared" ca="1" si="33"/>
        <v>48</v>
      </c>
      <c r="G247" t="str">
        <f t="shared" ca="1" si="34"/>
        <v>Completed</v>
      </c>
      <c r="H247" t="str">
        <f t="shared" ca="1" si="35"/>
        <v>Yes</v>
      </c>
      <c r="I247" t="str">
        <f t="shared" ca="1" si="36"/>
        <v>No</v>
      </c>
      <c r="J247" t="str">
        <f t="shared" ca="1" si="37"/>
        <v>High</v>
      </c>
      <c r="K247" t="str">
        <f t="shared" ca="1" si="38"/>
        <v>Pass</v>
      </c>
      <c r="L247" s="4" t="str" cm="1">
        <f t="array" aca="1" ref="L247" ca="1">_xlfn.IFS(D247&gt;=85,"A", D247&gt;=70,"B", D247&gt;=50,"C", D247&lt;50,"D")</f>
        <v>B</v>
      </c>
      <c r="M247" t="str">
        <f t="shared" ca="1" si="39"/>
        <v>Low</v>
      </c>
    </row>
    <row r="248" spans="1:13" x14ac:dyDescent="0.3">
      <c r="A248" t="s">
        <v>290</v>
      </c>
      <c r="B248" t="str">
        <f t="shared" ca="1" si="30"/>
        <v>10-C</v>
      </c>
      <c r="C248" t="str">
        <f t="shared" ca="1" si="31"/>
        <v>Science</v>
      </c>
      <c r="D248">
        <f t="shared" ca="1" si="32"/>
        <v>72.5</v>
      </c>
      <c r="E248">
        <v>100</v>
      </c>
      <c r="F248">
        <f t="shared" ca="1" si="33"/>
        <v>55</v>
      </c>
      <c r="G248" t="str">
        <f t="shared" ca="1" si="34"/>
        <v>Completed</v>
      </c>
      <c r="H248" t="str">
        <f t="shared" ca="1" si="35"/>
        <v>Yes</v>
      </c>
      <c r="I248" t="str">
        <f t="shared" ca="1" si="36"/>
        <v>Yes</v>
      </c>
      <c r="J248" t="str">
        <f t="shared" ca="1" si="37"/>
        <v>Low</v>
      </c>
      <c r="K248" t="str">
        <f t="shared" ca="1" si="38"/>
        <v>Pass</v>
      </c>
      <c r="L248" s="4" t="str" cm="1">
        <f t="array" aca="1" ref="L248" ca="1">_xlfn.IFS(D248&gt;=85,"A", D248&gt;=70,"B", D248&gt;=50,"C", D248&lt;50,"D")</f>
        <v>B</v>
      </c>
      <c r="M248" t="str">
        <f t="shared" ca="1" si="39"/>
        <v>Low</v>
      </c>
    </row>
    <row r="249" spans="1:13" x14ac:dyDescent="0.3">
      <c r="A249" t="s">
        <v>291</v>
      </c>
      <c r="B249" t="str">
        <f t="shared" ca="1" si="30"/>
        <v>10-B</v>
      </c>
      <c r="C249" t="str">
        <f t="shared" ca="1" si="31"/>
        <v>English</v>
      </c>
      <c r="D249">
        <f t="shared" ca="1" si="32"/>
        <v>66</v>
      </c>
      <c r="E249">
        <v>100</v>
      </c>
      <c r="F249">
        <f t="shared" ca="1" si="33"/>
        <v>100</v>
      </c>
      <c r="G249" t="str">
        <f t="shared" ca="1" si="34"/>
        <v>None</v>
      </c>
      <c r="H249" t="str">
        <f t="shared" ca="1" si="35"/>
        <v>Yes</v>
      </c>
      <c r="I249" t="str">
        <f t="shared" ca="1" si="36"/>
        <v>No</v>
      </c>
      <c r="J249" t="str">
        <f t="shared" ca="1" si="37"/>
        <v>High</v>
      </c>
      <c r="K249" t="str">
        <f t="shared" ca="1" si="38"/>
        <v>Pass</v>
      </c>
      <c r="L249" s="4" t="str" cm="1">
        <f t="array" aca="1" ref="L249" ca="1">_xlfn.IFS(D249&gt;=85,"A", D249&gt;=70,"B", D249&gt;=50,"C", D249&lt;50,"D")</f>
        <v>C</v>
      </c>
      <c r="M249" t="str">
        <f t="shared" ca="1" si="39"/>
        <v>High</v>
      </c>
    </row>
    <row r="250" spans="1:13" x14ac:dyDescent="0.3">
      <c r="A250" t="s">
        <v>292</v>
      </c>
      <c r="B250" t="str">
        <f t="shared" ca="1" si="30"/>
        <v>10-C</v>
      </c>
      <c r="C250" t="str">
        <f t="shared" ca="1" si="31"/>
        <v>Math</v>
      </c>
      <c r="D250">
        <f t="shared" ca="1" si="32"/>
        <v>57.7</v>
      </c>
      <c r="E250">
        <v>100</v>
      </c>
      <c r="F250">
        <f t="shared" ca="1" si="33"/>
        <v>57</v>
      </c>
      <c r="G250" t="str">
        <f t="shared" ca="1" si="34"/>
        <v>Completed</v>
      </c>
      <c r="H250" t="str">
        <f t="shared" ca="1" si="35"/>
        <v>Yes</v>
      </c>
      <c r="I250" t="str">
        <f t="shared" ca="1" si="36"/>
        <v>Yes</v>
      </c>
      <c r="J250" t="str">
        <f t="shared" ca="1" si="37"/>
        <v>Low</v>
      </c>
      <c r="K250" t="str">
        <f t="shared" ca="1" si="38"/>
        <v>Pass</v>
      </c>
      <c r="L250" s="4" t="str" cm="1">
        <f t="array" aca="1" ref="L250" ca="1">_xlfn.IFS(D250&gt;=85,"A", D250&gt;=70,"B", D250&gt;=50,"C", D250&lt;50,"D")</f>
        <v>C</v>
      </c>
      <c r="M250" t="str">
        <f t="shared" ca="1" si="39"/>
        <v>Low</v>
      </c>
    </row>
    <row r="251" spans="1:13" x14ac:dyDescent="0.3">
      <c r="A251" t="s">
        <v>293</v>
      </c>
      <c r="B251" t="str">
        <f t="shared" ca="1" si="30"/>
        <v>10-A</v>
      </c>
      <c r="C251" t="str">
        <f t="shared" ca="1" si="31"/>
        <v>Science</v>
      </c>
      <c r="D251">
        <f t="shared" ca="1" si="32"/>
        <v>59.6</v>
      </c>
      <c r="E251">
        <v>100</v>
      </c>
      <c r="F251">
        <f t="shared" ca="1" si="33"/>
        <v>96</v>
      </c>
      <c r="G251" t="str">
        <f t="shared" ca="1" si="34"/>
        <v>Completed</v>
      </c>
      <c r="H251" t="str">
        <f t="shared" ca="1" si="35"/>
        <v>No</v>
      </c>
      <c r="I251" t="str">
        <f t="shared" ca="1" si="36"/>
        <v>No</v>
      </c>
      <c r="J251" t="str">
        <f t="shared" ca="1" si="37"/>
        <v>High</v>
      </c>
      <c r="K251" t="str">
        <f t="shared" ca="1" si="38"/>
        <v>Pass</v>
      </c>
      <c r="L251" s="4" t="str" cm="1">
        <f t="array" aca="1" ref="L251" ca="1">_xlfn.IFS(D251&gt;=85,"A", D251&gt;=70,"B", D251&gt;=50,"C", D251&lt;50,"D")</f>
        <v>C</v>
      </c>
      <c r="M251" t="str">
        <f t="shared" ca="1" si="39"/>
        <v>High</v>
      </c>
    </row>
    <row r="252" spans="1:13" x14ac:dyDescent="0.3">
      <c r="A252" t="s">
        <v>294</v>
      </c>
      <c r="B252" t="str">
        <f t="shared" ca="1" si="30"/>
        <v>10-B</v>
      </c>
      <c r="C252" t="str">
        <f t="shared" ca="1" si="31"/>
        <v>Science</v>
      </c>
      <c r="D252">
        <f t="shared" ca="1" si="32"/>
        <v>63.9</v>
      </c>
      <c r="E252">
        <v>100</v>
      </c>
      <c r="F252">
        <f t="shared" ca="1" si="33"/>
        <v>89</v>
      </c>
      <c r="G252" t="str">
        <f t="shared" ca="1" si="34"/>
        <v>Completed</v>
      </c>
      <c r="H252" t="str">
        <f t="shared" ca="1" si="35"/>
        <v>Yes</v>
      </c>
      <c r="I252" t="str">
        <f t="shared" ca="1" si="36"/>
        <v>Yes</v>
      </c>
      <c r="J252" t="str">
        <f t="shared" ca="1" si="37"/>
        <v>Low</v>
      </c>
      <c r="K252" t="str">
        <f t="shared" ca="1" si="38"/>
        <v>Pass</v>
      </c>
      <c r="L252" s="4" t="str" cm="1">
        <f t="array" aca="1" ref="L252" ca="1">_xlfn.IFS(D252&gt;=85,"A", D252&gt;=70,"B", D252&gt;=50,"C", D252&lt;50,"D")</f>
        <v>C</v>
      </c>
      <c r="M252" t="str">
        <f t="shared" ca="1" si="39"/>
        <v>High</v>
      </c>
    </row>
    <row r="253" spans="1:13" x14ac:dyDescent="0.3">
      <c r="A253" t="s">
        <v>295</v>
      </c>
      <c r="B253" t="str">
        <f t="shared" ca="1" si="30"/>
        <v>10-C</v>
      </c>
      <c r="C253" t="str">
        <f t="shared" ca="1" si="31"/>
        <v>Math</v>
      </c>
      <c r="D253">
        <f t="shared" ca="1" si="32"/>
        <v>84.5</v>
      </c>
      <c r="E253">
        <v>100</v>
      </c>
      <c r="F253">
        <f t="shared" ca="1" si="33"/>
        <v>55</v>
      </c>
      <c r="G253" t="str">
        <f t="shared" ca="1" si="34"/>
        <v>None</v>
      </c>
      <c r="H253" t="str">
        <f t="shared" ca="1" si="35"/>
        <v>Yes</v>
      </c>
      <c r="I253" t="str">
        <f t="shared" ca="1" si="36"/>
        <v>Yes</v>
      </c>
      <c r="J253" t="str">
        <f t="shared" ca="1" si="37"/>
        <v>Low</v>
      </c>
      <c r="K253" t="str">
        <f t="shared" ca="1" si="38"/>
        <v>Pass</v>
      </c>
      <c r="L253" s="4" t="str" cm="1">
        <f t="array" aca="1" ref="L253" ca="1">_xlfn.IFS(D253&gt;=85,"A", D253&gt;=70,"B", D253&gt;=50,"C", D253&lt;50,"D")</f>
        <v>B</v>
      </c>
      <c r="M253" t="str">
        <f t="shared" ca="1" si="39"/>
        <v>Low</v>
      </c>
    </row>
    <row r="254" spans="1:13" x14ac:dyDescent="0.3">
      <c r="A254" t="s">
        <v>296</v>
      </c>
      <c r="B254" t="str">
        <f t="shared" ca="1" si="30"/>
        <v>10-C</v>
      </c>
      <c r="C254" t="str">
        <f t="shared" ca="1" si="31"/>
        <v>Math</v>
      </c>
      <c r="D254">
        <f t="shared" ca="1" si="32"/>
        <v>46.4</v>
      </c>
      <c r="E254">
        <v>100</v>
      </c>
      <c r="F254">
        <f t="shared" ca="1" si="33"/>
        <v>54</v>
      </c>
      <c r="G254" t="str">
        <f t="shared" ca="1" si="34"/>
        <v>None</v>
      </c>
      <c r="H254" t="str">
        <f t="shared" ca="1" si="35"/>
        <v>No</v>
      </c>
      <c r="I254" t="str">
        <f t="shared" ca="1" si="36"/>
        <v>No</v>
      </c>
      <c r="J254" t="str">
        <f t="shared" ca="1" si="37"/>
        <v>Critical</v>
      </c>
      <c r="K254" t="str">
        <f t="shared" ca="1" si="38"/>
        <v>Pass</v>
      </c>
      <c r="L254" s="4" t="str" cm="1">
        <f t="array" aca="1" ref="L254" ca="1">_xlfn.IFS(D254&gt;=85,"A", D254&gt;=70,"B", D254&gt;=50,"C", D254&lt;50,"D")</f>
        <v>D</v>
      </c>
      <c r="M254" t="str">
        <f t="shared" ca="1" si="39"/>
        <v>Low</v>
      </c>
    </row>
    <row r="255" spans="1:13" x14ac:dyDescent="0.3">
      <c r="A255" t="s">
        <v>297</v>
      </c>
      <c r="B255" t="str">
        <f t="shared" ca="1" si="30"/>
        <v>10-C</v>
      </c>
      <c r="C255" t="str">
        <f t="shared" ca="1" si="31"/>
        <v>Math</v>
      </c>
      <c r="D255">
        <f t="shared" ca="1" si="32"/>
        <v>53.7</v>
      </c>
      <c r="E255">
        <v>100</v>
      </c>
      <c r="F255">
        <f t="shared" ca="1" si="33"/>
        <v>47</v>
      </c>
      <c r="G255" t="str">
        <f t="shared" ca="1" si="34"/>
        <v>None</v>
      </c>
      <c r="H255" t="str">
        <f t="shared" ca="1" si="35"/>
        <v>No</v>
      </c>
      <c r="I255" t="str">
        <f t="shared" ca="1" si="36"/>
        <v>Yes</v>
      </c>
      <c r="J255" t="str">
        <f t="shared" ca="1" si="37"/>
        <v>Low</v>
      </c>
      <c r="K255" t="str">
        <f t="shared" ca="1" si="38"/>
        <v>Pass</v>
      </c>
      <c r="L255" s="4" t="str" cm="1">
        <f t="array" aca="1" ref="L255" ca="1">_xlfn.IFS(D255&gt;=85,"A", D255&gt;=70,"B", D255&gt;=50,"C", D255&lt;50,"D")</f>
        <v>C</v>
      </c>
      <c r="M255" t="str">
        <f t="shared" ca="1" si="39"/>
        <v>Low</v>
      </c>
    </row>
    <row r="256" spans="1:13" x14ac:dyDescent="0.3">
      <c r="A256" t="s">
        <v>298</v>
      </c>
      <c r="B256" t="str">
        <f t="shared" ca="1" si="30"/>
        <v>10-A</v>
      </c>
      <c r="C256" t="str">
        <f t="shared" ca="1" si="31"/>
        <v>English</v>
      </c>
      <c r="D256">
        <f t="shared" ca="1" si="32"/>
        <v>50.4</v>
      </c>
      <c r="E256">
        <v>100</v>
      </c>
      <c r="F256">
        <f t="shared" ca="1" si="33"/>
        <v>64</v>
      </c>
      <c r="G256" t="str">
        <f t="shared" ca="1" si="34"/>
        <v>None</v>
      </c>
      <c r="H256" t="str">
        <f t="shared" ca="1" si="35"/>
        <v>Yes</v>
      </c>
      <c r="I256" t="str">
        <f t="shared" ca="1" si="36"/>
        <v>No</v>
      </c>
      <c r="J256" t="str">
        <f t="shared" ca="1" si="37"/>
        <v>High</v>
      </c>
      <c r="K256" t="str">
        <f t="shared" ca="1" si="38"/>
        <v>Pass</v>
      </c>
      <c r="L256" s="4" t="str" cm="1">
        <f t="array" aca="1" ref="L256" ca="1">_xlfn.IFS(D256&gt;=85,"A", D256&gt;=70,"B", D256&gt;=50,"C", D256&lt;50,"D")</f>
        <v>C</v>
      </c>
      <c r="M256" t="str">
        <f t="shared" ca="1" si="39"/>
        <v>Low</v>
      </c>
    </row>
    <row r="257" spans="1:13" x14ac:dyDescent="0.3">
      <c r="A257" t="s">
        <v>299</v>
      </c>
      <c r="B257" t="str">
        <f t="shared" ca="1" si="30"/>
        <v>10-C</v>
      </c>
      <c r="C257" t="str">
        <f t="shared" ca="1" si="31"/>
        <v>Science</v>
      </c>
      <c r="D257">
        <f t="shared" ca="1" si="32"/>
        <v>85.7</v>
      </c>
      <c r="E257">
        <v>100</v>
      </c>
      <c r="F257">
        <f t="shared" ca="1" si="33"/>
        <v>57</v>
      </c>
      <c r="G257" t="str">
        <f t="shared" ca="1" si="34"/>
        <v>Completed</v>
      </c>
      <c r="H257" t="str">
        <f t="shared" ca="1" si="35"/>
        <v>Yes</v>
      </c>
      <c r="I257" t="str">
        <f t="shared" ca="1" si="36"/>
        <v>Yes</v>
      </c>
      <c r="J257" t="str">
        <f t="shared" ca="1" si="37"/>
        <v>Low</v>
      </c>
      <c r="K257" t="str">
        <f t="shared" ca="1" si="38"/>
        <v>Pass</v>
      </c>
      <c r="L257" s="4" t="str" cm="1">
        <f t="array" aca="1" ref="L257" ca="1">_xlfn.IFS(D257&gt;=85,"A", D257&gt;=70,"B", D257&gt;=50,"C", D257&lt;50,"D")</f>
        <v>A</v>
      </c>
      <c r="M257" t="str">
        <f t="shared" ca="1" si="39"/>
        <v>Low</v>
      </c>
    </row>
    <row r="258" spans="1:13" x14ac:dyDescent="0.3">
      <c r="A258" t="s">
        <v>300</v>
      </c>
      <c r="B258" t="str">
        <f t="shared" ca="1" si="30"/>
        <v>10-C</v>
      </c>
      <c r="C258" t="str">
        <f t="shared" ca="1" si="31"/>
        <v>Math</v>
      </c>
      <c r="D258">
        <f t="shared" ca="1" si="32"/>
        <v>80.5</v>
      </c>
      <c r="E258">
        <v>100</v>
      </c>
      <c r="F258">
        <f t="shared" ca="1" si="33"/>
        <v>45</v>
      </c>
      <c r="G258" t="str">
        <f t="shared" ca="1" si="34"/>
        <v>Completed</v>
      </c>
      <c r="H258" t="str">
        <f t="shared" ca="1" si="35"/>
        <v>No</v>
      </c>
      <c r="I258" t="str">
        <f t="shared" ca="1" si="36"/>
        <v>Yes</v>
      </c>
      <c r="J258" t="str">
        <f t="shared" ca="1" si="37"/>
        <v>Low</v>
      </c>
      <c r="K258" t="str">
        <f t="shared" ca="1" si="38"/>
        <v>Pass</v>
      </c>
      <c r="L258" s="4" t="str" cm="1">
        <f t="array" aca="1" ref="L258" ca="1">_xlfn.IFS(D258&gt;=85,"A", D258&gt;=70,"B", D258&gt;=50,"C", D258&lt;50,"D")</f>
        <v>B</v>
      </c>
      <c r="M258" t="str">
        <f t="shared" ca="1" si="39"/>
        <v>Low</v>
      </c>
    </row>
    <row r="259" spans="1:13" x14ac:dyDescent="0.3">
      <c r="A259" t="s">
        <v>301</v>
      </c>
      <c r="B259" t="str">
        <f t="shared" ref="B259:B322" ca="1" si="40">CHOOSE(RANDBETWEEN(1,3), "10-A", "10-B", "10-C")</f>
        <v>10-B</v>
      </c>
      <c r="C259" t="str">
        <f t="shared" ref="C259:C322" ca="1" si="41">CHOOSE(RANDBETWEEN(1,3), "Math", "Science", "English")</f>
        <v>Math</v>
      </c>
      <c r="D259">
        <f t="shared" ref="D259:D322" ca="1" si="42">MIN(100, RANDBETWEEN(30, 80) + (F259/10))</f>
        <v>87</v>
      </c>
      <c r="E259">
        <v>100</v>
      </c>
      <c r="F259">
        <f t="shared" ref="F259:F322" ca="1" si="43">RANDBETWEEN(40, 100)</f>
        <v>90</v>
      </c>
      <c r="G259" t="str">
        <f t="shared" ref="G259:G322" ca="1" si="44">IF(RANDBETWEEN(0,1)=1, "Completed", "None")</f>
        <v>Completed</v>
      </c>
      <c r="H259" t="str">
        <f t="shared" ref="H259:H322" ca="1" si="45">IF(RANDBETWEEN(1,10)&gt;3, "Yes", "No")</f>
        <v>Yes</v>
      </c>
      <c r="I259" t="str">
        <f t="shared" ref="I259:I322" ca="1" si="46">IF(RANDBETWEEN(1,10)&gt;3, "Yes", "No")</f>
        <v>Yes</v>
      </c>
      <c r="J259" t="str">
        <f t="shared" ref="J259:J322" ca="1" si="47">IF(TRIM(I259)="No", IF(VALUE(D259)&lt;50, "Critical", "High"), IF(VALUE(D259)&lt;50, "Medium", "Low"))</f>
        <v>Low</v>
      </c>
      <c r="K259" t="str">
        <f t="shared" ref="K259:K322" ca="1" si="48">IF(D259&gt;=40, "Pass", "Fail")</f>
        <v>Pass</v>
      </c>
      <c r="L259" s="4" t="str" cm="1">
        <f t="array" aca="1" ref="L259" ca="1">_xlfn.IFS(D259&gt;=85,"A", D259&gt;=70,"B", D259&gt;=50,"C", D259&lt;50,"D")</f>
        <v>A</v>
      </c>
      <c r="M259" t="str">
        <f t="shared" ref="M259:M322" ca="1" si="49">IF(F259&gt;=85, "High", IF(F259&gt;=75, "Medium", "Low"))</f>
        <v>High</v>
      </c>
    </row>
    <row r="260" spans="1:13" x14ac:dyDescent="0.3">
      <c r="A260" t="s">
        <v>302</v>
      </c>
      <c r="B260" t="str">
        <f t="shared" ca="1" si="40"/>
        <v>10-B</v>
      </c>
      <c r="C260" t="str">
        <f t="shared" ca="1" si="41"/>
        <v>English</v>
      </c>
      <c r="D260">
        <f t="shared" ca="1" si="42"/>
        <v>81.7</v>
      </c>
      <c r="E260">
        <v>100</v>
      </c>
      <c r="F260">
        <f t="shared" ca="1" si="43"/>
        <v>67</v>
      </c>
      <c r="G260" t="str">
        <f t="shared" ca="1" si="44"/>
        <v>Completed</v>
      </c>
      <c r="H260" t="str">
        <f t="shared" ca="1" si="45"/>
        <v>No</v>
      </c>
      <c r="I260" t="str">
        <f t="shared" ca="1" si="46"/>
        <v>Yes</v>
      </c>
      <c r="J260" t="str">
        <f t="shared" ca="1" si="47"/>
        <v>Low</v>
      </c>
      <c r="K260" t="str">
        <f t="shared" ca="1" si="48"/>
        <v>Pass</v>
      </c>
      <c r="L260" s="4" t="str" cm="1">
        <f t="array" aca="1" ref="L260" ca="1">_xlfn.IFS(D260&gt;=85,"A", D260&gt;=70,"B", D260&gt;=50,"C", D260&lt;50,"D")</f>
        <v>B</v>
      </c>
      <c r="M260" t="str">
        <f t="shared" ca="1" si="49"/>
        <v>Low</v>
      </c>
    </row>
    <row r="261" spans="1:13" x14ac:dyDescent="0.3">
      <c r="A261" t="s">
        <v>303</v>
      </c>
      <c r="B261" t="str">
        <f t="shared" ca="1" si="40"/>
        <v>10-C</v>
      </c>
      <c r="C261" t="str">
        <f t="shared" ca="1" si="41"/>
        <v>English</v>
      </c>
      <c r="D261">
        <f t="shared" ca="1" si="42"/>
        <v>84.3</v>
      </c>
      <c r="E261">
        <v>100</v>
      </c>
      <c r="F261">
        <f t="shared" ca="1" si="43"/>
        <v>53</v>
      </c>
      <c r="G261" t="str">
        <f t="shared" ca="1" si="44"/>
        <v>None</v>
      </c>
      <c r="H261" t="str">
        <f t="shared" ca="1" si="45"/>
        <v>Yes</v>
      </c>
      <c r="I261" t="str">
        <f t="shared" ca="1" si="46"/>
        <v>Yes</v>
      </c>
      <c r="J261" t="str">
        <f t="shared" ca="1" si="47"/>
        <v>Low</v>
      </c>
      <c r="K261" t="str">
        <f t="shared" ca="1" si="48"/>
        <v>Pass</v>
      </c>
      <c r="L261" s="4" t="str" cm="1">
        <f t="array" aca="1" ref="L261" ca="1">_xlfn.IFS(D261&gt;=85,"A", D261&gt;=70,"B", D261&gt;=50,"C", D261&lt;50,"D")</f>
        <v>B</v>
      </c>
      <c r="M261" t="str">
        <f t="shared" ca="1" si="49"/>
        <v>Low</v>
      </c>
    </row>
    <row r="262" spans="1:13" x14ac:dyDescent="0.3">
      <c r="A262" t="s">
        <v>304</v>
      </c>
      <c r="B262" t="str">
        <f t="shared" ca="1" si="40"/>
        <v>10-C</v>
      </c>
      <c r="C262" t="str">
        <f t="shared" ca="1" si="41"/>
        <v>Science</v>
      </c>
      <c r="D262">
        <f t="shared" ca="1" si="42"/>
        <v>87.3</v>
      </c>
      <c r="E262">
        <v>100</v>
      </c>
      <c r="F262">
        <f t="shared" ca="1" si="43"/>
        <v>73</v>
      </c>
      <c r="G262" t="str">
        <f t="shared" ca="1" si="44"/>
        <v>Completed</v>
      </c>
      <c r="H262" t="str">
        <f t="shared" ca="1" si="45"/>
        <v>No</v>
      </c>
      <c r="I262" t="str">
        <f t="shared" ca="1" si="46"/>
        <v>Yes</v>
      </c>
      <c r="J262" t="str">
        <f t="shared" ca="1" si="47"/>
        <v>Low</v>
      </c>
      <c r="K262" t="str">
        <f t="shared" ca="1" si="48"/>
        <v>Pass</v>
      </c>
      <c r="L262" s="4" t="str" cm="1">
        <f t="array" aca="1" ref="L262" ca="1">_xlfn.IFS(D262&gt;=85,"A", D262&gt;=70,"B", D262&gt;=50,"C", D262&lt;50,"D")</f>
        <v>A</v>
      </c>
      <c r="M262" t="str">
        <f t="shared" ca="1" si="49"/>
        <v>Low</v>
      </c>
    </row>
    <row r="263" spans="1:13" x14ac:dyDescent="0.3">
      <c r="A263" t="s">
        <v>305</v>
      </c>
      <c r="B263" t="str">
        <f t="shared" ca="1" si="40"/>
        <v>10-C</v>
      </c>
      <c r="C263" t="str">
        <f t="shared" ca="1" si="41"/>
        <v>Math</v>
      </c>
      <c r="D263">
        <f t="shared" ca="1" si="42"/>
        <v>60.1</v>
      </c>
      <c r="E263">
        <v>100</v>
      </c>
      <c r="F263">
        <f t="shared" ca="1" si="43"/>
        <v>61</v>
      </c>
      <c r="G263" t="str">
        <f t="shared" ca="1" si="44"/>
        <v>None</v>
      </c>
      <c r="H263" t="str">
        <f t="shared" ca="1" si="45"/>
        <v>Yes</v>
      </c>
      <c r="I263" t="str">
        <f t="shared" ca="1" si="46"/>
        <v>Yes</v>
      </c>
      <c r="J263" t="str">
        <f t="shared" ca="1" si="47"/>
        <v>Low</v>
      </c>
      <c r="K263" t="str">
        <f t="shared" ca="1" si="48"/>
        <v>Pass</v>
      </c>
      <c r="L263" s="4" t="str" cm="1">
        <f t="array" aca="1" ref="L263" ca="1">_xlfn.IFS(D263&gt;=85,"A", D263&gt;=70,"B", D263&gt;=50,"C", D263&lt;50,"D")</f>
        <v>C</v>
      </c>
      <c r="M263" t="str">
        <f t="shared" ca="1" si="49"/>
        <v>Low</v>
      </c>
    </row>
    <row r="264" spans="1:13" x14ac:dyDescent="0.3">
      <c r="A264" t="s">
        <v>306</v>
      </c>
      <c r="B264" t="str">
        <f t="shared" ca="1" si="40"/>
        <v>10-C</v>
      </c>
      <c r="C264" t="str">
        <f t="shared" ca="1" si="41"/>
        <v>Science</v>
      </c>
      <c r="D264">
        <f t="shared" ca="1" si="42"/>
        <v>43.7</v>
      </c>
      <c r="E264">
        <v>100</v>
      </c>
      <c r="F264">
        <f t="shared" ca="1" si="43"/>
        <v>67</v>
      </c>
      <c r="G264" t="str">
        <f t="shared" ca="1" si="44"/>
        <v>None</v>
      </c>
      <c r="H264" t="str">
        <f t="shared" ca="1" si="45"/>
        <v>No</v>
      </c>
      <c r="I264" t="str">
        <f t="shared" ca="1" si="46"/>
        <v>Yes</v>
      </c>
      <c r="J264" t="str">
        <f t="shared" ca="1" si="47"/>
        <v>Medium</v>
      </c>
      <c r="K264" t="str">
        <f t="shared" ca="1" si="48"/>
        <v>Pass</v>
      </c>
      <c r="L264" s="4" t="str" cm="1">
        <f t="array" aca="1" ref="L264" ca="1">_xlfn.IFS(D264&gt;=85,"A", D264&gt;=70,"B", D264&gt;=50,"C", D264&lt;50,"D")</f>
        <v>D</v>
      </c>
      <c r="M264" t="str">
        <f t="shared" ca="1" si="49"/>
        <v>Low</v>
      </c>
    </row>
    <row r="265" spans="1:13" x14ac:dyDescent="0.3">
      <c r="A265" t="s">
        <v>307</v>
      </c>
      <c r="B265" t="str">
        <f t="shared" ca="1" si="40"/>
        <v>10-B</v>
      </c>
      <c r="C265" t="str">
        <f t="shared" ca="1" si="41"/>
        <v>English</v>
      </c>
      <c r="D265">
        <f t="shared" ca="1" si="42"/>
        <v>45.2</v>
      </c>
      <c r="E265">
        <v>100</v>
      </c>
      <c r="F265">
        <f t="shared" ca="1" si="43"/>
        <v>72</v>
      </c>
      <c r="G265" t="str">
        <f t="shared" ca="1" si="44"/>
        <v>None</v>
      </c>
      <c r="H265" t="str">
        <f t="shared" ca="1" si="45"/>
        <v>Yes</v>
      </c>
      <c r="I265" t="str">
        <f t="shared" ca="1" si="46"/>
        <v>Yes</v>
      </c>
      <c r="J265" t="str">
        <f t="shared" ca="1" si="47"/>
        <v>Medium</v>
      </c>
      <c r="K265" t="str">
        <f t="shared" ca="1" si="48"/>
        <v>Pass</v>
      </c>
      <c r="L265" s="4" t="str" cm="1">
        <f t="array" aca="1" ref="L265" ca="1">_xlfn.IFS(D265&gt;=85,"A", D265&gt;=70,"B", D265&gt;=50,"C", D265&lt;50,"D")</f>
        <v>D</v>
      </c>
      <c r="M265" t="str">
        <f t="shared" ca="1" si="49"/>
        <v>Low</v>
      </c>
    </row>
    <row r="266" spans="1:13" x14ac:dyDescent="0.3">
      <c r="A266" t="s">
        <v>308</v>
      </c>
      <c r="B266" t="str">
        <f t="shared" ca="1" si="40"/>
        <v>10-A</v>
      </c>
      <c r="C266" t="str">
        <f t="shared" ca="1" si="41"/>
        <v>Science</v>
      </c>
      <c r="D266">
        <f t="shared" ca="1" si="42"/>
        <v>63.6</v>
      </c>
      <c r="E266">
        <v>100</v>
      </c>
      <c r="F266">
        <f t="shared" ca="1" si="43"/>
        <v>76</v>
      </c>
      <c r="G266" t="str">
        <f t="shared" ca="1" si="44"/>
        <v>None</v>
      </c>
      <c r="H266" t="str">
        <f t="shared" ca="1" si="45"/>
        <v>No</v>
      </c>
      <c r="I266" t="str">
        <f t="shared" ca="1" si="46"/>
        <v>Yes</v>
      </c>
      <c r="J266" t="str">
        <f t="shared" ca="1" si="47"/>
        <v>Low</v>
      </c>
      <c r="K266" t="str">
        <f t="shared" ca="1" si="48"/>
        <v>Pass</v>
      </c>
      <c r="L266" s="4" t="str" cm="1">
        <f t="array" aca="1" ref="L266" ca="1">_xlfn.IFS(D266&gt;=85,"A", D266&gt;=70,"B", D266&gt;=50,"C", D266&lt;50,"D")</f>
        <v>C</v>
      </c>
      <c r="M266" t="str">
        <f t="shared" ca="1" si="49"/>
        <v>Medium</v>
      </c>
    </row>
    <row r="267" spans="1:13" x14ac:dyDescent="0.3">
      <c r="A267" t="s">
        <v>309</v>
      </c>
      <c r="B267" t="str">
        <f t="shared" ca="1" si="40"/>
        <v>10-C</v>
      </c>
      <c r="C267" t="str">
        <f t="shared" ca="1" si="41"/>
        <v>Science</v>
      </c>
      <c r="D267">
        <f t="shared" ca="1" si="42"/>
        <v>50</v>
      </c>
      <c r="E267">
        <v>100</v>
      </c>
      <c r="F267">
        <f t="shared" ca="1" si="43"/>
        <v>90</v>
      </c>
      <c r="G267" t="str">
        <f t="shared" ca="1" si="44"/>
        <v>Completed</v>
      </c>
      <c r="H267" t="str">
        <f t="shared" ca="1" si="45"/>
        <v>Yes</v>
      </c>
      <c r="I267" t="str">
        <f t="shared" ca="1" si="46"/>
        <v>Yes</v>
      </c>
      <c r="J267" t="str">
        <f t="shared" ca="1" si="47"/>
        <v>Low</v>
      </c>
      <c r="K267" t="str">
        <f t="shared" ca="1" si="48"/>
        <v>Pass</v>
      </c>
      <c r="L267" s="4" t="str" cm="1">
        <f t="array" aca="1" ref="L267" ca="1">_xlfn.IFS(D267&gt;=85,"A", D267&gt;=70,"B", D267&gt;=50,"C", D267&lt;50,"D")</f>
        <v>C</v>
      </c>
      <c r="M267" t="str">
        <f t="shared" ca="1" si="49"/>
        <v>High</v>
      </c>
    </row>
    <row r="268" spans="1:13" x14ac:dyDescent="0.3">
      <c r="A268" t="s">
        <v>310</v>
      </c>
      <c r="B268" t="str">
        <f t="shared" ca="1" si="40"/>
        <v>10-A</v>
      </c>
      <c r="C268" t="str">
        <f t="shared" ca="1" si="41"/>
        <v>Science</v>
      </c>
      <c r="D268">
        <f t="shared" ca="1" si="42"/>
        <v>50</v>
      </c>
      <c r="E268">
        <v>100</v>
      </c>
      <c r="F268">
        <f t="shared" ca="1" si="43"/>
        <v>80</v>
      </c>
      <c r="G268" t="str">
        <f t="shared" ca="1" si="44"/>
        <v>Completed</v>
      </c>
      <c r="H268" t="str">
        <f t="shared" ca="1" si="45"/>
        <v>No</v>
      </c>
      <c r="I268" t="str">
        <f t="shared" ca="1" si="46"/>
        <v>Yes</v>
      </c>
      <c r="J268" t="str">
        <f t="shared" ca="1" si="47"/>
        <v>Low</v>
      </c>
      <c r="K268" t="str">
        <f t="shared" ca="1" si="48"/>
        <v>Pass</v>
      </c>
      <c r="L268" s="4" t="str" cm="1">
        <f t="array" aca="1" ref="L268" ca="1">_xlfn.IFS(D268&gt;=85,"A", D268&gt;=70,"B", D268&gt;=50,"C", D268&lt;50,"D")</f>
        <v>C</v>
      </c>
      <c r="M268" t="str">
        <f t="shared" ca="1" si="49"/>
        <v>Medium</v>
      </c>
    </row>
    <row r="269" spans="1:13" x14ac:dyDescent="0.3">
      <c r="A269" t="s">
        <v>311</v>
      </c>
      <c r="B269" t="str">
        <f t="shared" ca="1" si="40"/>
        <v>10-A</v>
      </c>
      <c r="C269" t="str">
        <f t="shared" ca="1" si="41"/>
        <v>Math</v>
      </c>
      <c r="D269">
        <f t="shared" ca="1" si="42"/>
        <v>74.599999999999994</v>
      </c>
      <c r="E269">
        <v>100</v>
      </c>
      <c r="F269">
        <f t="shared" ca="1" si="43"/>
        <v>56</v>
      </c>
      <c r="G269" t="str">
        <f t="shared" ca="1" si="44"/>
        <v>Completed</v>
      </c>
      <c r="H269" t="str">
        <f t="shared" ca="1" si="45"/>
        <v>Yes</v>
      </c>
      <c r="I269" t="str">
        <f t="shared" ca="1" si="46"/>
        <v>Yes</v>
      </c>
      <c r="J269" t="str">
        <f t="shared" ca="1" si="47"/>
        <v>Low</v>
      </c>
      <c r="K269" t="str">
        <f t="shared" ca="1" si="48"/>
        <v>Pass</v>
      </c>
      <c r="L269" s="4" t="str" cm="1">
        <f t="array" aca="1" ref="L269" ca="1">_xlfn.IFS(D269&gt;=85,"A", D269&gt;=70,"B", D269&gt;=50,"C", D269&lt;50,"D")</f>
        <v>B</v>
      </c>
      <c r="M269" t="str">
        <f t="shared" ca="1" si="49"/>
        <v>Low</v>
      </c>
    </row>
    <row r="270" spans="1:13" x14ac:dyDescent="0.3">
      <c r="A270" t="s">
        <v>312</v>
      </c>
      <c r="B270" t="str">
        <f t="shared" ca="1" si="40"/>
        <v>10-C</v>
      </c>
      <c r="C270" t="str">
        <f t="shared" ca="1" si="41"/>
        <v>English</v>
      </c>
      <c r="D270">
        <f t="shared" ca="1" si="42"/>
        <v>58.6</v>
      </c>
      <c r="E270">
        <v>100</v>
      </c>
      <c r="F270">
        <f t="shared" ca="1" si="43"/>
        <v>46</v>
      </c>
      <c r="G270" t="str">
        <f t="shared" ca="1" si="44"/>
        <v>Completed</v>
      </c>
      <c r="H270" t="str">
        <f t="shared" ca="1" si="45"/>
        <v>Yes</v>
      </c>
      <c r="I270" t="str">
        <f t="shared" ca="1" si="46"/>
        <v>No</v>
      </c>
      <c r="J270" t="str">
        <f t="shared" ca="1" si="47"/>
        <v>High</v>
      </c>
      <c r="K270" t="str">
        <f t="shared" ca="1" si="48"/>
        <v>Pass</v>
      </c>
      <c r="L270" s="4" t="str" cm="1">
        <f t="array" aca="1" ref="L270" ca="1">_xlfn.IFS(D270&gt;=85,"A", D270&gt;=70,"B", D270&gt;=50,"C", D270&lt;50,"D")</f>
        <v>C</v>
      </c>
      <c r="M270" t="str">
        <f t="shared" ca="1" si="49"/>
        <v>Low</v>
      </c>
    </row>
    <row r="271" spans="1:13" x14ac:dyDescent="0.3">
      <c r="A271" t="s">
        <v>313</v>
      </c>
      <c r="B271" t="str">
        <f t="shared" ca="1" si="40"/>
        <v>10-C</v>
      </c>
      <c r="C271" t="str">
        <f t="shared" ca="1" si="41"/>
        <v>Science</v>
      </c>
      <c r="D271">
        <f t="shared" ca="1" si="42"/>
        <v>61.8</v>
      </c>
      <c r="E271">
        <v>100</v>
      </c>
      <c r="F271">
        <f t="shared" ca="1" si="43"/>
        <v>48</v>
      </c>
      <c r="G271" t="str">
        <f t="shared" ca="1" si="44"/>
        <v>None</v>
      </c>
      <c r="H271" t="str">
        <f t="shared" ca="1" si="45"/>
        <v>Yes</v>
      </c>
      <c r="I271" t="str">
        <f t="shared" ca="1" si="46"/>
        <v>Yes</v>
      </c>
      <c r="J271" t="str">
        <f t="shared" ca="1" si="47"/>
        <v>Low</v>
      </c>
      <c r="K271" t="str">
        <f t="shared" ca="1" si="48"/>
        <v>Pass</v>
      </c>
      <c r="L271" s="4" t="str" cm="1">
        <f t="array" aca="1" ref="L271" ca="1">_xlfn.IFS(D271&gt;=85,"A", D271&gt;=70,"B", D271&gt;=50,"C", D271&lt;50,"D")</f>
        <v>C</v>
      </c>
      <c r="M271" t="str">
        <f t="shared" ca="1" si="49"/>
        <v>Low</v>
      </c>
    </row>
    <row r="272" spans="1:13" x14ac:dyDescent="0.3">
      <c r="A272" t="s">
        <v>314</v>
      </c>
      <c r="B272" t="str">
        <f t="shared" ca="1" si="40"/>
        <v>10-A</v>
      </c>
      <c r="C272" t="str">
        <f t="shared" ca="1" si="41"/>
        <v>Science</v>
      </c>
      <c r="D272">
        <f t="shared" ca="1" si="42"/>
        <v>69.900000000000006</v>
      </c>
      <c r="E272">
        <v>100</v>
      </c>
      <c r="F272">
        <f t="shared" ca="1" si="43"/>
        <v>99</v>
      </c>
      <c r="G272" t="str">
        <f t="shared" ca="1" si="44"/>
        <v>None</v>
      </c>
      <c r="H272" t="str">
        <f t="shared" ca="1" si="45"/>
        <v>Yes</v>
      </c>
      <c r="I272" t="str">
        <f t="shared" ca="1" si="46"/>
        <v>No</v>
      </c>
      <c r="J272" t="str">
        <f t="shared" ca="1" si="47"/>
        <v>High</v>
      </c>
      <c r="K272" t="str">
        <f t="shared" ca="1" si="48"/>
        <v>Pass</v>
      </c>
      <c r="L272" s="4" t="str" cm="1">
        <f t="array" aca="1" ref="L272" ca="1">_xlfn.IFS(D272&gt;=85,"A", D272&gt;=70,"B", D272&gt;=50,"C", D272&lt;50,"D")</f>
        <v>C</v>
      </c>
      <c r="M272" t="str">
        <f t="shared" ca="1" si="49"/>
        <v>High</v>
      </c>
    </row>
    <row r="273" spans="1:13" x14ac:dyDescent="0.3">
      <c r="A273" t="s">
        <v>315</v>
      </c>
      <c r="B273" t="str">
        <f t="shared" ca="1" si="40"/>
        <v>10-A</v>
      </c>
      <c r="C273" t="str">
        <f t="shared" ca="1" si="41"/>
        <v>Science</v>
      </c>
      <c r="D273">
        <f t="shared" ca="1" si="42"/>
        <v>69.599999999999994</v>
      </c>
      <c r="E273">
        <v>100</v>
      </c>
      <c r="F273">
        <f t="shared" ca="1" si="43"/>
        <v>96</v>
      </c>
      <c r="G273" t="str">
        <f t="shared" ca="1" si="44"/>
        <v>Completed</v>
      </c>
      <c r="H273" t="str">
        <f t="shared" ca="1" si="45"/>
        <v>Yes</v>
      </c>
      <c r="I273" t="str">
        <f t="shared" ca="1" si="46"/>
        <v>Yes</v>
      </c>
      <c r="J273" t="str">
        <f t="shared" ca="1" si="47"/>
        <v>Low</v>
      </c>
      <c r="K273" t="str">
        <f t="shared" ca="1" si="48"/>
        <v>Pass</v>
      </c>
      <c r="L273" s="4" t="str" cm="1">
        <f t="array" aca="1" ref="L273" ca="1">_xlfn.IFS(D273&gt;=85,"A", D273&gt;=70,"B", D273&gt;=50,"C", D273&lt;50,"D")</f>
        <v>C</v>
      </c>
      <c r="M273" t="str">
        <f t="shared" ca="1" si="49"/>
        <v>High</v>
      </c>
    </row>
    <row r="274" spans="1:13" x14ac:dyDescent="0.3">
      <c r="A274" t="s">
        <v>316</v>
      </c>
      <c r="B274" t="str">
        <f t="shared" ca="1" si="40"/>
        <v>10-A</v>
      </c>
      <c r="C274" t="str">
        <f t="shared" ca="1" si="41"/>
        <v>Math</v>
      </c>
      <c r="D274">
        <f t="shared" ca="1" si="42"/>
        <v>35.299999999999997</v>
      </c>
      <c r="E274">
        <v>100</v>
      </c>
      <c r="F274">
        <f t="shared" ca="1" si="43"/>
        <v>43</v>
      </c>
      <c r="G274" t="str">
        <f t="shared" ca="1" si="44"/>
        <v>Completed</v>
      </c>
      <c r="H274" t="str">
        <f t="shared" ca="1" si="45"/>
        <v>Yes</v>
      </c>
      <c r="I274" t="str">
        <f t="shared" ca="1" si="46"/>
        <v>Yes</v>
      </c>
      <c r="J274" t="str">
        <f t="shared" ca="1" si="47"/>
        <v>Medium</v>
      </c>
      <c r="K274" t="str">
        <f t="shared" ca="1" si="48"/>
        <v>Fail</v>
      </c>
      <c r="L274" s="4" t="str" cm="1">
        <f t="array" aca="1" ref="L274" ca="1">_xlfn.IFS(D274&gt;=85,"A", D274&gt;=70,"B", D274&gt;=50,"C", D274&lt;50,"D")</f>
        <v>D</v>
      </c>
      <c r="M274" t="str">
        <f t="shared" ca="1" si="49"/>
        <v>Low</v>
      </c>
    </row>
    <row r="275" spans="1:13" x14ac:dyDescent="0.3">
      <c r="A275" t="s">
        <v>317</v>
      </c>
      <c r="B275" t="str">
        <f t="shared" ca="1" si="40"/>
        <v>10-A</v>
      </c>
      <c r="C275" t="str">
        <f t="shared" ca="1" si="41"/>
        <v>Science</v>
      </c>
      <c r="D275">
        <f t="shared" ca="1" si="42"/>
        <v>78.599999999999994</v>
      </c>
      <c r="E275">
        <v>100</v>
      </c>
      <c r="F275">
        <f t="shared" ca="1" si="43"/>
        <v>46</v>
      </c>
      <c r="G275" t="str">
        <f t="shared" ca="1" si="44"/>
        <v>None</v>
      </c>
      <c r="H275" t="str">
        <f t="shared" ca="1" si="45"/>
        <v>No</v>
      </c>
      <c r="I275" t="str">
        <f t="shared" ca="1" si="46"/>
        <v>Yes</v>
      </c>
      <c r="J275" t="str">
        <f t="shared" ca="1" si="47"/>
        <v>Low</v>
      </c>
      <c r="K275" t="str">
        <f t="shared" ca="1" si="48"/>
        <v>Pass</v>
      </c>
      <c r="L275" s="4" t="str" cm="1">
        <f t="array" aca="1" ref="L275" ca="1">_xlfn.IFS(D275&gt;=85,"A", D275&gt;=70,"B", D275&gt;=50,"C", D275&lt;50,"D")</f>
        <v>B</v>
      </c>
      <c r="M275" t="str">
        <f t="shared" ca="1" si="49"/>
        <v>Low</v>
      </c>
    </row>
    <row r="276" spans="1:13" x14ac:dyDescent="0.3">
      <c r="A276" t="s">
        <v>318</v>
      </c>
      <c r="B276" t="str">
        <f t="shared" ca="1" si="40"/>
        <v>10-B</v>
      </c>
      <c r="C276" t="str">
        <f t="shared" ca="1" si="41"/>
        <v>English</v>
      </c>
      <c r="D276">
        <f t="shared" ca="1" si="42"/>
        <v>73.400000000000006</v>
      </c>
      <c r="E276">
        <v>100</v>
      </c>
      <c r="F276">
        <f t="shared" ca="1" si="43"/>
        <v>94</v>
      </c>
      <c r="G276" t="str">
        <f t="shared" ca="1" si="44"/>
        <v>Completed</v>
      </c>
      <c r="H276" t="str">
        <f t="shared" ca="1" si="45"/>
        <v>No</v>
      </c>
      <c r="I276" t="str">
        <f t="shared" ca="1" si="46"/>
        <v>Yes</v>
      </c>
      <c r="J276" t="str">
        <f t="shared" ca="1" si="47"/>
        <v>Low</v>
      </c>
      <c r="K276" t="str">
        <f t="shared" ca="1" si="48"/>
        <v>Pass</v>
      </c>
      <c r="L276" s="4" t="str" cm="1">
        <f t="array" aca="1" ref="L276" ca="1">_xlfn.IFS(D276&gt;=85,"A", D276&gt;=70,"B", D276&gt;=50,"C", D276&lt;50,"D")</f>
        <v>B</v>
      </c>
      <c r="M276" t="str">
        <f t="shared" ca="1" si="49"/>
        <v>High</v>
      </c>
    </row>
    <row r="277" spans="1:13" x14ac:dyDescent="0.3">
      <c r="A277" t="s">
        <v>319</v>
      </c>
      <c r="B277" t="str">
        <f t="shared" ca="1" si="40"/>
        <v>10-B</v>
      </c>
      <c r="C277" t="str">
        <f t="shared" ca="1" si="41"/>
        <v>Science</v>
      </c>
      <c r="D277">
        <f t="shared" ca="1" si="42"/>
        <v>65.7</v>
      </c>
      <c r="E277">
        <v>100</v>
      </c>
      <c r="F277">
        <f t="shared" ca="1" si="43"/>
        <v>47</v>
      </c>
      <c r="G277" t="str">
        <f t="shared" ca="1" si="44"/>
        <v>None</v>
      </c>
      <c r="H277" t="str">
        <f t="shared" ca="1" si="45"/>
        <v>Yes</v>
      </c>
      <c r="I277" t="str">
        <f t="shared" ca="1" si="46"/>
        <v>Yes</v>
      </c>
      <c r="J277" t="str">
        <f t="shared" ca="1" si="47"/>
        <v>Low</v>
      </c>
      <c r="K277" t="str">
        <f t="shared" ca="1" si="48"/>
        <v>Pass</v>
      </c>
      <c r="L277" s="4" t="str" cm="1">
        <f t="array" aca="1" ref="L277" ca="1">_xlfn.IFS(D277&gt;=85,"A", D277&gt;=70,"B", D277&gt;=50,"C", D277&lt;50,"D")</f>
        <v>C</v>
      </c>
      <c r="M277" t="str">
        <f t="shared" ca="1" si="49"/>
        <v>Low</v>
      </c>
    </row>
    <row r="278" spans="1:13" x14ac:dyDescent="0.3">
      <c r="A278" t="s">
        <v>320</v>
      </c>
      <c r="B278" t="str">
        <f t="shared" ca="1" si="40"/>
        <v>10-C</v>
      </c>
      <c r="C278" t="str">
        <f t="shared" ca="1" si="41"/>
        <v>Science</v>
      </c>
      <c r="D278">
        <f t="shared" ca="1" si="42"/>
        <v>54.5</v>
      </c>
      <c r="E278">
        <v>100</v>
      </c>
      <c r="F278">
        <f t="shared" ca="1" si="43"/>
        <v>95</v>
      </c>
      <c r="G278" t="str">
        <f t="shared" ca="1" si="44"/>
        <v>Completed</v>
      </c>
      <c r="H278" t="str">
        <f t="shared" ca="1" si="45"/>
        <v>Yes</v>
      </c>
      <c r="I278" t="str">
        <f t="shared" ca="1" si="46"/>
        <v>Yes</v>
      </c>
      <c r="J278" t="str">
        <f t="shared" ca="1" si="47"/>
        <v>Low</v>
      </c>
      <c r="K278" t="str">
        <f t="shared" ca="1" si="48"/>
        <v>Pass</v>
      </c>
      <c r="L278" s="4" t="str" cm="1">
        <f t="array" aca="1" ref="L278" ca="1">_xlfn.IFS(D278&gt;=85,"A", D278&gt;=70,"B", D278&gt;=50,"C", D278&lt;50,"D")</f>
        <v>C</v>
      </c>
      <c r="M278" t="str">
        <f t="shared" ca="1" si="49"/>
        <v>High</v>
      </c>
    </row>
    <row r="279" spans="1:13" x14ac:dyDescent="0.3">
      <c r="A279" t="s">
        <v>321</v>
      </c>
      <c r="B279" t="str">
        <f t="shared" ca="1" si="40"/>
        <v>10-A</v>
      </c>
      <c r="C279" t="str">
        <f t="shared" ca="1" si="41"/>
        <v>Math</v>
      </c>
      <c r="D279">
        <f t="shared" ca="1" si="42"/>
        <v>76.900000000000006</v>
      </c>
      <c r="E279">
        <v>100</v>
      </c>
      <c r="F279">
        <f t="shared" ca="1" si="43"/>
        <v>69</v>
      </c>
      <c r="G279" t="str">
        <f t="shared" ca="1" si="44"/>
        <v>Completed</v>
      </c>
      <c r="H279" t="str">
        <f t="shared" ca="1" si="45"/>
        <v>No</v>
      </c>
      <c r="I279" t="str">
        <f t="shared" ca="1" si="46"/>
        <v>No</v>
      </c>
      <c r="J279" t="str">
        <f t="shared" ca="1" si="47"/>
        <v>High</v>
      </c>
      <c r="K279" t="str">
        <f t="shared" ca="1" si="48"/>
        <v>Pass</v>
      </c>
      <c r="L279" s="4" t="str" cm="1">
        <f t="array" aca="1" ref="L279" ca="1">_xlfn.IFS(D279&gt;=85,"A", D279&gt;=70,"B", D279&gt;=50,"C", D279&lt;50,"D")</f>
        <v>B</v>
      </c>
      <c r="M279" t="str">
        <f t="shared" ca="1" si="49"/>
        <v>Low</v>
      </c>
    </row>
    <row r="280" spans="1:13" x14ac:dyDescent="0.3">
      <c r="A280" t="s">
        <v>322</v>
      </c>
      <c r="B280" t="str">
        <f t="shared" ca="1" si="40"/>
        <v>10-A</v>
      </c>
      <c r="C280" t="str">
        <f t="shared" ca="1" si="41"/>
        <v>English</v>
      </c>
      <c r="D280">
        <f t="shared" ca="1" si="42"/>
        <v>68.3</v>
      </c>
      <c r="E280">
        <v>100</v>
      </c>
      <c r="F280">
        <f t="shared" ca="1" si="43"/>
        <v>83</v>
      </c>
      <c r="G280" t="str">
        <f t="shared" ca="1" si="44"/>
        <v>Completed</v>
      </c>
      <c r="H280" t="str">
        <f t="shared" ca="1" si="45"/>
        <v>Yes</v>
      </c>
      <c r="I280" t="str">
        <f t="shared" ca="1" si="46"/>
        <v>Yes</v>
      </c>
      <c r="J280" t="str">
        <f t="shared" ca="1" si="47"/>
        <v>Low</v>
      </c>
      <c r="K280" t="str">
        <f t="shared" ca="1" si="48"/>
        <v>Pass</v>
      </c>
      <c r="L280" s="4" t="str" cm="1">
        <f t="array" aca="1" ref="L280" ca="1">_xlfn.IFS(D280&gt;=85,"A", D280&gt;=70,"B", D280&gt;=50,"C", D280&lt;50,"D")</f>
        <v>C</v>
      </c>
      <c r="M280" t="str">
        <f t="shared" ca="1" si="49"/>
        <v>Medium</v>
      </c>
    </row>
    <row r="281" spans="1:13" x14ac:dyDescent="0.3">
      <c r="A281" t="s">
        <v>323</v>
      </c>
      <c r="B281" t="str">
        <f t="shared" ca="1" si="40"/>
        <v>10-A</v>
      </c>
      <c r="C281" t="str">
        <f t="shared" ca="1" si="41"/>
        <v>Science</v>
      </c>
      <c r="D281">
        <f t="shared" ca="1" si="42"/>
        <v>64.3</v>
      </c>
      <c r="E281">
        <v>100</v>
      </c>
      <c r="F281">
        <f t="shared" ca="1" si="43"/>
        <v>93</v>
      </c>
      <c r="G281" t="str">
        <f t="shared" ca="1" si="44"/>
        <v>None</v>
      </c>
      <c r="H281" t="str">
        <f t="shared" ca="1" si="45"/>
        <v>No</v>
      </c>
      <c r="I281" t="str">
        <f t="shared" ca="1" si="46"/>
        <v>No</v>
      </c>
      <c r="J281" t="str">
        <f t="shared" ca="1" si="47"/>
        <v>High</v>
      </c>
      <c r="K281" t="str">
        <f t="shared" ca="1" si="48"/>
        <v>Pass</v>
      </c>
      <c r="L281" s="4" t="str" cm="1">
        <f t="array" aca="1" ref="L281" ca="1">_xlfn.IFS(D281&gt;=85,"A", D281&gt;=70,"B", D281&gt;=50,"C", D281&lt;50,"D")</f>
        <v>C</v>
      </c>
      <c r="M281" t="str">
        <f t="shared" ca="1" si="49"/>
        <v>High</v>
      </c>
    </row>
    <row r="282" spans="1:13" x14ac:dyDescent="0.3">
      <c r="A282" t="s">
        <v>324</v>
      </c>
      <c r="B282" t="str">
        <f t="shared" ca="1" si="40"/>
        <v>10-B</v>
      </c>
      <c r="C282" t="str">
        <f t="shared" ca="1" si="41"/>
        <v>Science</v>
      </c>
      <c r="D282">
        <f t="shared" ca="1" si="42"/>
        <v>84.3</v>
      </c>
      <c r="E282">
        <v>100</v>
      </c>
      <c r="F282">
        <f t="shared" ca="1" si="43"/>
        <v>73</v>
      </c>
      <c r="G282" t="str">
        <f t="shared" ca="1" si="44"/>
        <v>None</v>
      </c>
      <c r="H282" t="str">
        <f t="shared" ca="1" si="45"/>
        <v>No</v>
      </c>
      <c r="I282" t="str">
        <f t="shared" ca="1" si="46"/>
        <v>Yes</v>
      </c>
      <c r="J282" t="str">
        <f t="shared" ca="1" si="47"/>
        <v>Low</v>
      </c>
      <c r="K282" t="str">
        <f t="shared" ca="1" si="48"/>
        <v>Pass</v>
      </c>
      <c r="L282" s="4" t="str" cm="1">
        <f t="array" aca="1" ref="L282" ca="1">_xlfn.IFS(D282&gt;=85,"A", D282&gt;=70,"B", D282&gt;=50,"C", D282&lt;50,"D")</f>
        <v>B</v>
      </c>
      <c r="M282" t="str">
        <f t="shared" ca="1" si="49"/>
        <v>Low</v>
      </c>
    </row>
    <row r="283" spans="1:13" x14ac:dyDescent="0.3">
      <c r="A283" t="s">
        <v>325</v>
      </c>
      <c r="B283" t="str">
        <f t="shared" ca="1" si="40"/>
        <v>10-A</v>
      </c>
      <c r="C283" t="str">
        <f t="shared" ca="1" si="41"/>
        <v>Math</v>
      </c>
      <c r="D283">
        <f t="shared" ca="1" si="42"/>
        <v>80.2</v>
      </c>
      <c r="E283">
        <v>100</v>
      </c>
      <c r="F283">
        <f t="shared" ca="1" si="43"/>
        <v>42</v>
      </c>
      <c r="G283" t="str">
        <f t="shared" ca="1" si="44"/>
        <v>None</v>
      </c>
      <c r="H283" t="str">
        <f t="shared" ca="1" si="45"/>
        <v>No</v>
      </c>
      <c r="I283" t="str">
        <f t="shared" ca="1" si="46"/>
        <v>Yes</v>
      </c>
      <c r="J283" t="str">
        <f t="shared" ca="1" si="47"/>
        <v>Low</v>
      </c>
      <c r="K283" t="str">
        <f t="shared" ca="1" si="48"/>
        <v>Pass</v>
      </c>
      <c r="L283" s="4" t="str" cm="1">
        <f t="array" aca="1" ref="L283" ca="1">_xlfn.IFS(D283&gt;=85,"A", D283&gt;=70,"B", D283&gt;=50,"C", D283&lt;50,"D")</f>
        <v>B</v>
      </c>
      <c r="M283" t="str">
        <f t="shared" ca="1" si="49"/>
        <v>Low</v>
      </c>
    </row>
    <row r="284" spans="1:13" x14ac:dyDescent="0.3">
      <c r="A284" t="s">
        <v>326</v>
      </c>
      <c r="B284" t="str">
        <f t="shared" ca="1" si="40"/>
        <v>10-A</v>
      </c>
      <c r="C284" t="str">
        <f t="shared" ca="1" si="41"/>
        <v>Math</v>
      </c>
      <c r="D284">
        <f t="shared" ca="1" si="42"/>
        <v>80.900000000000006</v>
      </c>
      <c r="E284">
        <v>100</v>
      </c>
      <c r="F284">
        <f t="shared" ca="1" si="43"/>
        <v>89</v>
      </c>
      <c r="G284" t="str">
        <f t="shared" ca="1" si="44"/>
        <v>Completed</v>
      </c>
      <c r="H284" t="str">
        <f t="shared" ca="1" si="45"/>
        <v>Yes</v>
      </c>
      <c r="I284" t="str">
        <f t="shared" ca="1" si="46"/>
        <v>Yes</v>
      </c>
      <c r="J284" t="str">
        <f t="shared" ca="1" si="47"/>
        <v>Low</v>
      </c>
      <c r="K284" t="str">
        <f t="shared" ca="1" si="48"/>
        <v>Pass</v>
      </c>
      <c r="L284" s="4" t="str" cm="1">
        <f t="array" aca="1" ref="L284" ca="1">_xlfn.IFS(D284&gt;=85,"A", D284&gt;=70,"B", D284&gt;=50,"C", D284&lt;50,"D")</f>
        <v>B</v>
      </c>
      <c r="M284" t="str">
        <f t="shared" ca="1" si="49"/>
        <v>High</v>
      </c>
    </row>
    <row r="285" spans="1:13" x14ac:dyDescent="0.3">
      <c r="A285" t="s">
        <v>327</v>
      </c>
      <c r="B285" t="str">
        <f t="shared" ca="1" si="40"/>
        <v>10-B</v>
      </c>
      <c r="C285" t="str">
        <f t="shared" ca="1" si="41"/>
        <v>Science</v>
      </c>
      <c r="D285">
        <f t="shared" ca="1" si="42"/>
        <v>75.900000000000006</v>
      </c>
      <c r="E285">
        <v>100</v>
      </c>
      <c r="F285">
        <f t="shared" ca="1" si="43"/>
        <v>59</v>
      </c>
      <c r="G285" t="str">
        <f t="shared" ca="1" si="44"/>
        <v>Completed</v>
      </c>
      <c r="H285" t="str">
        <f t="shared" ca="1" si="45"/>
        <v>No</v>
      </c>
      <c r="I285" t="str">
        <f t="shared" ca="1" si="46"/>
        <v>Yes</v>
      </c>
      <c r="J285" t="str">
        <f t="shared" ca="1" si="47"/>
        <v>Low</v>
      </c>
      <c r="K285" t="str">
        <f t="shared" ca="1" si="48"/>
        <v>Pass</v>
      </c>
      <c r="L285" s="4" t="str" cm="1">
        <f t="array" aca="1" ref="L285" ca="1">_xlfn.IFS(D285&gt;=85,"A", D285&gt;=70,"B", D285&gt;=50,"C", D285&lt;50,"D")</f>
        <v>B</v>
      </c>
      <c r="M285" t="str">
        <f t="shared" ca="1" si="49"/>
        <v>Low</v>
      </c>
    </row>
    <row r="286" spans="1:13" x14ac:dyDescent="0.3">
      <c r="A286" t="s">
        <v>328</v>
      </c>
      <c r="B286" t="str">
        <f t="shared" ca="1" si="40"/>
        <v>10-A</v>
      </c>
      <c r="C286" t="str">
        <f t="shared" ca="1" si="41"/>
        <v>English</v>
      </c>
      <c r="D286">
        <f t="shared" ca="1" si="42"/>
        <v>66</v>
      </c>
      <c r="E286">
        <v>100</v>
      </c>
      <c r="F286">
        <f t="shared" ca="1" si="43"/>
        <v>50</v>
      </c>
      <c r="G286" t="str">
        <f t="shared" ca="1" si="44"/>
        <v>None</v>
      </c>
      <c r="H286" t="str">
        <f t="shared" ca="1" si="45"/>
        <v>Yes</v>
      </c>
      <c r="I286" t="str">
        <f t="shared" ca="1" si="46"/>
        <v>Yes</v>
      </c>
      <c r="J286" t="str">
        <f t="shared" ca="1" si="47"/>
        <v>Low</v>
      </c>
      <c r="K286" t="str">
        <f t="shared" ca="1" si="48"/>
        <v>Pass</v>
      </c>
      <c r="L286" s="4" t="str" cm="1">
        <f t="array" aca="1" ref="L286" ca="1">_xlfn.IFS(D286&gt;=85,"A", D286&gt;=70,"B", D286&gt;=50,"C", D286&lt;50,"D")</f>
        <v>C</v>
      </c>
      <c r="M286" t="str">
        <f t="shared" ca="1" si="49"/>
        <v>Low</v>
      </c>
    </row>
    <row r="287" spans="1:13" x14ac:dyDescent="0.3">
      <c r="A287" t="s">
        <v>329</v>
      </c>
      <c r="B287" t="str">
        <f t="shared" ca="1" si="40"/>
        <v>10-A</v>
      </c>
      <c r="C287" t="str">
        <f t="shared" ca="1" si="41"/>
        <v>Science</v>
      </c>
      <c r="D287">
        <f t="shared" ca="1" si="42"/>
        <v>68.099999999999994</v>
      </c>
      <c r="E287">
        <v>100</v>
      </c>
      <c r="F287">
        <f t="shared" ca="1" si="43"/>
        <v>81</v>
      </c>
      <c r="G287" t="str">
        <f t="shared" ca="1" si="44"/>
        <v>Completed</v>
      </c>
      <c r="H287" t="str">
        <f t="shared" ca="1" si="45"/>
        <v>Yes</v>
      </c>
      <c r="I287" t="str">
        <f t="shared" ca="1" si="46"/>
        <v>Yes</v>
      </c>
      <c r="J287" t="str">
        <f t="shared" ca="1" si="47"/>
        <v>Low</v>
      </c>
      <c r="K287" t="str">
        <f t="shared" ca="1" si="48"/>
        <v>Pass</v>
      </c>
      <c r="L287" s="4" t="str" cm="1">
        <f t="array" aca="1" ref="L287" ca="1">_xlfn.IFS(D287&gt;=85,"A", D287&gt;=70,"B", D287&gt;=50,"C", D287&lt;50,"D")</f>
        <v>C</v>
      </c>
      <c r="M287" t="str">
        <f t="shared" ca="1" si="49"/>
        <v>Medium</v>
      </c>
    </row>
    <row r="288" spans="1:13" x14ac:dyDescent="0.3">
      <c r="A288" t="s">
        <v>330</v>
      </c>
      <c r="B288" t="str">
        <f t="shared" ca="1" si="40"/>
        <v>10-C</v>
      </c>
      <c r="C288" t="str">
        <f t="shared" ca="1" si="41"/>
        <v>Math</v>
      </c>
      <c r="D288">
        <f t="shared" ca="1" si="42"/>
        <v>74.5</v>
      </c>
      <c r="E288">
        <v>100</v>
      </c>
      <c r="F288">
        <f t="shared" ca="1" si="43"/>
        <v>65</v>
      </c>
      <c r="G288" t="str">
        <f t="shared" ca="1" si="44"/>
        <v>Completed</v>
      </c>
      <c r="H288" t="str">
        <f t="shared" ca="1" si="45"/>
        <v>No</v>
      </c>
      <c r="I288" t="str">
        <f t="shared" ca="1" si="46"/>
        <v>Yes</v>
      </c>
      <c r="J288" t="str">
        <f t="shared" ca="1" si="47"/>
        <v>Low</v>
      </c>
      <c r="K288" t="str">
        <f t="shared" ca="1" si="48"/>
        <v>Pass</v>
      </c>
      <c r="L288" s="4" t="str" cm="1">
        <f t="array" aca="1" ref="L288" ca="1">_xlfn.IFS(D288&gt;=85,"A", D288&gt;=70,"B", D288&gt;=50,"C", D288&lt;50,"D")</f>
        <v>B</v>
      </c>
      <c r="M288" t="str">
        <f t="shared" ca="1" si="49"/>
        <v>Low</v>
      </c>
    </row>
    <row r="289" spans="1:13" x14ac:dyDescent="0.3">
      <c r="A289" t="s">
        <v>331</v>
      </c>
      <c r="B289" t="str">
        <f t="shared" ca="1" si="40"/>
        <v>10-B</v>
      </c>
      <c r="C289" t="str">
        <f t="shared" ca="1" si="41"/>
        <v>Math</v>
      </c>
      <c r="D289">
        <f t="shared" ca="1" si="42"/>
        <v>67.3</v>
      </c>
      <c r="E289">
        <v>100</v>
      </c>
      <c r="F289">
        <f t="shared" ca="1" si="43"/>
        <v>43</v>
      </c>
      <c r="G289" t="str">
        <f t="shared" ca="1" si="44"/>
        <v>None</v>
      </c>
      <c r="H289" t="str">
        <f t="shared" ca="1" si="45"/>
        <v>Yes</v>
      </c>
      <c r="I289" t="str">
        <f t="shared" ca="1" si="46"/>
        <v>Yes</v>
      </c>
      <c r="J289" t="str">
        <f t="shared" ca="1" si="47"/>
        <v>Low</v>
      </c>
      <c r="K289" t="str">
        <f t="shared" ca="1" si="48"/>
        <v>Pass</v>
      </c>
      <c r="L289" s="4" t="str" cm="1">
        <f t="array" aca="1" ref="L289" ca="1">_xlfn.IFS(D289&gt;=85,"A", D289&gt;=70,"B", D289&gt;=50,"C", D289&lt;50,"D")</f>
        <v>C</v>
      </c>
      <c r="M289" t="str">
        <f t="shared" ca="1" si="49"/>
        <v>Low</v>
      </c>
    </row>
    <row r="290" spans="1:13" x14ac:dyDescent="0.3">
      <c r="A290" t="s">
        <v>332</v>
      </c>
      <c r="B290" t="str">
        <f t="shared" ca="1" si="40"/>
        <v>10-A</v>
      </c>
      <c r="C290" t="str">
        <f t="shared" ca="1" si="41"/>
        <v>English</v>
      </c>
      <c r="D290">
        <f t="shared" ca="1" si="42"/>
        <v>54.2</v>
      </c>
      <c r="E290">
        <v>100</v>
      </c>
      <c r="F290">
        <f t="shared" ca="1" si="43"/>
        <v>52</v>
      </c>
      <c r="G290" t="str">
        <f t="shared" ca="1" si="44"/>
        <v>None</v>
      </c>
      <c r="H290" t="str">
        <f t="shared" ca="1" si="45"/>
        <v>Yes</v>
      </c>
      <c r="I290" t="str">
        <f t="shared" ca="1" si="46"/>
        <v>No</v>
      </c>
      <c r="J290" t="str">
        <f t="shared" ca="1" si="47"/>
        <v>High</v>
      </c>
      <c r="K290" t="str">
        <f t="shared" ca="1" si="48"/>
        <v>Pass</v>
      </c>
      <c r="L290" s="4" t="str" cm="1">
        <f t="array" aca="1" ref="L290" ca="1">_xlfn.IFS(D290&gt;=85,"A", D290&gt;=70,"B", D290&gt;=50,"C", D290&lt;50,"D")</f>
        <v>C</v>
      </c>
      <c r="M290" t="str">
        <f t="shared" ca="1" si="49"/>
        <v>Low</v>
      </c>
    </row>
    <row r="291" spans="1:13" x14ac:dyDescent="0.3">
      <c r="A291" t="s">
        <v>333</v>
      </c>
      <c r="B291" t="str">
        <f t="shared" ca="1" si="40"/>
        <v>10-C</v>
      </c>
      <c r="C291" t="str">
        <f t="shared" ca="1" si="41"/>
        <v>Math</v>
      </c>
      <c r="D291">
        <f t="shared" ca="1" si="42"/>
        <v>39.200000000000003</v>
      </c>
      <c r="E291">
        <v>100</v>
      </c>
      <c r="F291">
        <f t="shared" ca="1" si="43"/>
        <v>62</v>
      </c>
      <c r="G291" t="str">
        <f t="shared" ca="1" si="44"/>
        <v>None</v>
      </c>
      <c r="H291" t="str">
        <f t="shared" ca="1" si="45"/>
        <v>Yes</v>
      </c>
      <c r="I291" t="str">
        <f t="shared" ca="1" si="46"/>
        <v>Yes</v>
      </c>
      <c r="J291" t="str">
        <f t="shared" ca="1" si="47"/>
        <v>Medium</v>
      </c>
      <c r="K291" t="str">
        <f t="shared" ca="1" si="48"/>
        <v>Fail</v>
      </c>
      <c r="L291" s="4" t="str" cm="1">
        <f t="array" aca="1" ref="L291" ca="1">_xlfn.IFS(D291&gt;=85,"A", D291&gt;=70,"B", D291&gt;=50,"C", D291&lt;50,"D")</f>
        <v>D</v>
      </c>
      <c r="M291" t="str">
        <f t="shared" ca="1" si="49"/>
        <v>Low</v>
      </c>
    </row>
    <row r="292" spans="1:13" x14ac:dyDescent="0.3">
      <c r="A292" t="s">
        <v>334</v>
      </c>
      <c r="B292" t="str">
        <f t="shared" ca="1" si="40"/>
        <v>10-B</v>
      </c>
      <c r="C292" t="str">
        <f t="shared" ca="1" si="41"/>
        <v>Math</v>
      </c>
      <c r="D292">
        <f t="shared" ca="1" si="42"/>
        <v>52.6</v>
      </c>
      <c r="E292">
        <v>100</v>
      </c>
      <c r="F292">
        <f t="shared" ca="1" si="43"/>
        <v>86</v>
      </c>
      <c r="G292" t="str">
        <f t="shared" ca="1" si="44"/>
        <v>None</v>
      </c>
      <c r="H292" t="str">
        <f t="shared" ca="1" si="45"/>
        <v>Yes</v>
      </c>
      <c r="I292" t="str">
        <f t="shared" ca="1" si="46"/>
        <v>No</v>
      </c>
      <c r="J292" t="str">
        <f t="shared" ca="1" si="47"/>
        <v>High</v>
      </c>
      <c r="K292" t="str">
        <f t="shared" ca="1" si="48"/>
        <v>Pass</v>
      </c>
      <c r="L292" s="4" t="str" cm="1">
        <f t="array" aca="1" ref="L292" ca="1">_xlfn.IFS(D292&gt;=85,"A", D292&gt;=70,"B", D292&gt;=50,"C", D292&lt;50,"D")</f>
        <v>C</v>
      </c>
      <c r="M292" t="str">
        <f t="shared" ca="1" si="49"/>
        <v>High</v>
      </c>
    </row>
    <row r="293" spans="1:13" x14ac:dyDescent="0.3">
      <c r="A293" t="s">
        <v>335</v>
      </c>
      <c r="B293" t="str">
        <f t="shared" ca="1" si="40"/>
        <v>10-A</v>
      </c>
      <c r="C293" t="str">
        <f t="shared" ca="1" si="41"/>
        <v>English</v>
      </c>
      <c r="D293">
        <f t="shared" ca="1" si="42"/>
        <v>64.599999999999994</v>
      </c>
      <c r="E293">
        <v>100</v>
      </c>
      <c r="F293">
        <f t="shared" ca="1" si="43"/>
        <v>86</v>
      </c>
      <c r="G293" t="str">
        <f t="shared" ca="1" si="44"/>
        <v>None</v>
      </c>
      <c r="H293" t="str">
        <f t="shared" ca="1" si="45"/>
        <v>Yes</v>
      </c>
      <c r="I293" t="str">
        <f t="shared" ca="1" si="46"/>
        <v>Yes</v>
      </c>
      <c r="J293" t="str">
        <f t="shared" ca="1" si="47"/>
        <v>Low</v>
      </c>
      <c r="K293" t="str">
        <f t="shared" ca="1" si="48"/>
        <v>Pass</v>
      </c>
      <c r="L293" s="4" t="str" cm="1">
        <f t="array" aca="1" ref="L293" ca="1">_xlfn.IFS(D293&gt;=85,"A", D293&gt;=70,"B", D293&gt;=50,"C", D293&lt;50,"D")</f>
        <v>C</v>
      </c>
      <c r="M293" t="str">
        <f t="shared" ca="1" si="49"/>
        <v>High</v>
      </c>
    </row>
    <row r="294" spans="1:13" x14ac:dyDescent="0.3">
      <c r="A294" t="s">
        <v>336</v>
      </c>
      <c r="B294" t="str">
        <f t="shared" ca="1" si="40"/>
        <v>10-B</v>
      </c>
      <c r="C294" t="str">
        <f t="shared" ca="1" si="41"/>
        <v>Science</v>
      </c>
      <c r="D294">
        <f t="shared" ca="1" si="42"/>
        <v>73.8</v>
      </c>
      <c r="E294">
        <v>100</v>
      </c>
      <c r="F294">
        <f t="shared" ca="1" si="43"/>
        <v>48</v>
      </c>
      <c r="G294" t="str">
        <f t="shared" ca="1" si="44"/>
        <v>Completed</v>
      </c>
      <c r="H294" t="str">
        <f t="shared" ca="1" si="45"/>
        <v>Yes</v>
      </c>
      <c r="I294" t="str">
        <f t="shared" ca="1" si="46"/>
        <v>Yes</v>
      </c>
      <c r="J294" t="str">
        <f t="shared" ca="1" si="47"/>
        <v>Low</v>
      </c>
      <c r="K294" t="str">
        <f t="shared" ca="1" si="48"/>
        <v>Pass</v>
      </c>
      <c r="L294" s="4" t="str" cm="1">
        <f t="array" aca="1" ref="L294" ca="1">_xlfn.IFS(D294&gt;=85,"A", D294&gt;=70,"B", D294&gt;=50,"C", D294&lt;50,"D")</f>
        <v>B</v>
      </c>
      <c r="M294" t="str">
        <f t="shared" ca="1" si="49"/>
        <v>Low</v>
      </c>
    </row>
    <row r="295" spans="1:13" x14ac:dyDescent="0.3">
      <c r="A295" t="s">
        <v>337</v>
      </c>
      <c r="B295" t="str">
        <f t="shared" ca="1" si="40"/>
        <v>10-A</v>
      </c>
      <c r="C295" t="str">
        <f t="shared" ca="1" si="41"/>
        <v>Math</v>
      </c>
      <c r="D295">
        <f t="shared" ca="1" si="42"/>
        <v>73.599999999999994</v>
      </c>
      <c r="E295">
        <v>100</v>
      </c>
      <c r="F295">
        <f t="shared" ca="1" si="43"/>
        <v>76</v>
      </c>
      <c r="G295" t="str">
        <f t="shared" ca="1" si="44"/>
        <v>Completed</v>
      </c>
      <c r="H295" t="str">
        <f t="shared" ca="1" si="45"/>
        <v>Yes</v>
      </c>
      <c r="I295" t="str">
        <f t="shared" ca="1" si="46"/>
        <v>Yes</v>
      </c>
      <c r="J295" t="str">
        <f t="shared" ca="1" si="47"/>
        <v>Low</v>
      </c>
      <c r="K295" t="str">
        <f t="shared" ca="1" si="48"/>
        <v>Pass</v>
      </c>
      <c r="L295" s="4" t="str" cm="1">
        <f t="array" aca="1" ref="L295" ca="1">_xlfn.IFS(D295&gt;=85,"A", D295&gt;=70,"B", D295&gt;=50,"C", D295&lt;50,"D")</f>
        <v>B</v>
      </c>
      <c r="M295" t="str">
        <f t="shared" ca="1" si="49"/>
        <v>Medium</v>
      </c>
    </row>
    <row r="296" spans="1:13" x14ac:dyDescent="0.3">
      <c r="A296" t="s">
        <v>338</v>
      </c>
      <c r="B296" t="str">
        <f t="shared" ca="1" si="40"/>
        <v>10-A</v>
      </c>
      <c r="C296" t="str">
        <f t="shared" ca="1" si="41"/>
        <v>English</v>
      </c>
      <c r="D296">
        <f t="shared" ca="1" si="42"/>
        <v>64.7</v>
      </c>
      <c r="E296">
        <v>100</v>
      </c>
      <c r="F296">
        <f t="shared" ca="1" si="43"/>
        <v>97</v>
      </c>
      <c r="G296" t="str">
        <f t="shared" ca="1" si="44"/>
        <v>Completed</v>
      </c>
      <c r="H296" t="str">
        <f t="shared" ca="1" si="45"/>
        <v>No</v>
      </c>
      <c r="I296" t="str">
        <f t="shared" ca="1" si="46"/>
        <v>Yes</v>
      </c>
      <c r="J296" t="str">
        <f t="shared" ca="1" si="47"/>
        <v>Low</v>
      </c>
      <c r="K296" t="str">
        <f t="shared" ca="1" si="48"/>
        <v>Pass</v>
      </c>
      <c r="L296" s="4" t="str" cm="1">
        <f t="array" aca="1" ref="L296" ca="1">_xlfn.IFS(D296&gt;=85,"A", D296&gt;=70,"B", D296&gt;=50,"C", D296&lt;50,"D")</f>
        <v>C</v>
      </c>
      <c r="M296" t="str">
        <f t="shared" ca="1" si="49"/>
        <v>High</v>
      </c>
    </row>
    <row r="297" spans="1:13" x14ac:dyDescent="0.3">
      <c r="A297" t="s">
        <v>339</v>
      </c>
      <c r="B297" t="str">
        <f t="shared" ca="1" si="40"/>
        <v>10-B</v>
      </c>
      <c r="C297" t="str">
        <f t="shared" ca="1" si="41"/>
        <v>Science</v>
      </c>
      <c r="D297">
        <f t="shared" ca="1" si="42"/>
        <v>72.7</v>
      </c>
      <c r="E297">
        <v>100</v>
      </c>
      <c r="F297">
        <f t="shared" ca="1" si="43"/>
        <v>47</v>
      </c>
      <c r="G297" t="str">
        <f t="shared" ca="1" si="44"/>
        <v>None</v>
      </c>
      <c r="H297" t="str">
        <f t="shared" ca="1" si="45"/>
        <v>Yes</v>
      </c>
      <c r="I297" t="str">
        <f t="shared" ca="1" si="46"/>
        <v>Yes</v>
      </c>
      <c r="J297" t="str">
        <f t="shared" ca="1" si="47"/>
        <v>Low</v>
      </c>
      <c r="K297" t="str">
        <f t="shared" ca="1" si="48"/>
        <v>Pass</v>
      </c>
      <c r="L297" s="4" t="str" cm="1">
        <f t="array" aca="1" ref="L297" ca="1">_xlfn.IFS(D297&gt;=85,"A", D297&gt;=70,"B", D297&gt;=50,"C", D297&lt;50,"D")</f>
        <v>B</v>
      </c>
      <c r="M297" t="str">
        <f t="shared" ca="1" si="49"/>
        <v>Low</v>
      </c>
    </row>
    <row r="298" spans="1:13" x14ac:dyDescent="0.3">
      <c r="A298" t="s">
        <v>340</v>
      </c>
      <c r="B298" t="str">
        <f t="shared" ca="1" si="40"/>
        <v>10-A</v>
      </c>
      <c r="C298" t="str">
        <f t="shared" ca="1" si="41"/>
        <v>English</v>
      </c>
      <c r="D298">
        <f t="shared" ca="1" si="42"/>
        <v>75</v>
      </c>
      <c r="E298">
        <v>100</v>
      </c>
      <c r="F298">
        <f t="shared" ca="1" si="43"/>
        <v>50</v>
      </c>
      <c r="G298" t="str">
        <f t="shared" ca="1" si="44"/>
        <v>Completed</v>
      </c>
      <c r="H298" t="str">
        <f t="shared" ca="1" si="45"/>
        <v>Yes</v>
      </c>
      <c r="I298" t="str">
        <f t="shared" ca="1" si="46"/>
        <v>Yes</v>
      </c>
      <c r="J298" t="str">
        <f t="shared" ca="1" si="47"/>
        <v>Low</v>
      </c>
      <c r="K298" t="str">
        <f t="shared" ca="1" si="48"/>
        <v>Pass</v>
      </c>
      <c r="L298" s="4" t="str" cm="1">
        <f t="array" aca="1" ref="L298" ca="1">_xlfn.IFS(D298&gt;=85,"A", D298&gt;=70,"B", D298&gt;=50,"C", D298&lt;50,"D")</f>
        <v>B</v>
      </c>
      <c r="M298" t="str">
        <f t="shared" ca="1" si="49"/>
        <v>Low</v>
      </c>
    </row>
    <row r="299" spans="1:13" x14ac:dyDescent="0.3">
      <c r="A299" t="s">
        <v>341</v>
      </c>
      <c r="B299" t="str">
        <f t="shared" ca="1" si="40"/>
        <v>10-A</v>
      </c>
      <c r="C299" t="str">
        <f t="shared" ca="1" si="41"/>
        <v>Science</v>
      </c>
      <c r="D299">
        <f t="shared" ca="1" si="42"/>
        <v>50.6</v>
      </c>
      <c r="E299">
        <v>100</v>
      </c>
      <c r="F299">
        <f t="shared" ca="1" si="43"/>
        <v>66</v>
      </c>
      <c r="G299" t="str">
        <f t="shared" ca="1" si="44"/>
        <v>Completed</v>
      </c>
      <c r="H299" t="str">
        <f t="shared" ca="1" si="45"/>
        <v>Yes</v>
      </c>
      <c r="I299" t="str">
        <f t="shared" ca="1" si="46"/>
        <v>Yes</v>
      </c>
      <c r="J299" t="str">
        <f t="shared" ca="1" si="47"/>
        <v>Low</v>
      </c>
      <c r="K299" t="str">
        <f t="shared" ca="1" si="48"/>
        <v>Pass</v>
      </c>
      <c r="L299" s="4" t="str" cm="1">
        <f t="array" aca="1" ref="L299" ca="1">_xlfn.IFS(D299&gt;=85,"A", D299&gt;=70,"B", D299&gt;=50,"C", D299&lt;50,"D")</f>
        <v>C</v>
      </c>
      <c r="M299" t="str">
        <f t="shared" ca="1" si="49"/>
        <v>Low</v>
      </c>
    </row>
    <row r="300" spans="1:13" x14ac:dyDescent="0.3">
      <c r="A300" t="s">
        <v>342</v>
      </c>
      <c r="B300" t="str">
        <f t="shared" ca="1" si="40"/>
        <v>10-A</v>
      </c>
      <c r="C300" t="str">
        <f t="shared" ca="1" si="41"/>
        <v>English</v>
      </c>
      <c r="D300">
        <f t="shared" ca="1" si="42"/>
        <v>40.1</v>
      </c>
      <c r="E300">
        <v>100</v>
      </c>
      <c r="F300">
        <f t="shared" ca="1" si="43"/>
        <v>91</v>
      </c>
      <c r="G300" t="str">
        <f t="shared" ca="1" si="44"/>
        <v>None</v>
      </c>
      <c r="H300" t="str">
        <f t="shared" ca="1" si="45"/>
        <v>Yes</v>
      </c>
      <c r="I300" t="str">
        <f t="shared" ca="1" si="46"/>
        <v>No</v>
      </c>
      <c r="J300" t="str">
        <f t="shared" ca="1" si="47"/>
        <v>Critical</v>
      </c>
      <c r="K300" t="str">
        <f t="shared" ca="1" si="48"/>
        <v>Pass</v>
      </c>
      <c r="L300" s="4" t="str" cm="1">
        <f t="array" aca="1" ref="L300" ca="1">_xlfn.IFS(D300&gt;=85,"A", D300&gt;=70,"B", D300&gt;=50,"C", D300&lt;50,"D")</f>
        <v>D</v>
      </c>
      <c r="M300" t="str">
        <f t="shared" ca="1" si="49"/>
        <v>High</v>
      </c>
    </row>
    <row r="301" spans="1:13" x14ac:dyDescent="0.3">
      <c r="A301" t="s">
        <v>343</v>
      </c>
      <c r="B301" t="str">
        <f t="shared" ca="1" si="40"/>
        <v>10-A</v>
      </c>
      <c r="C301" t="str">
        <f t="shared" ca="1" si="41"/>
        <v>Science</v>
      </c>
      <c r="D301">
        <f t="shared" ca="1" si="42"/>
        <v>79.3</v>
      </c>
      <c r="E301">
        <v>100</v>
      </c>
      <c r="F301">
        <f t="shared" ca="1" si="43"/>
        <v>73</v>
      </c>
      <c r="G301" t="str">
        <f t="shared" ca="1" si="44"/>
        <v>None</v>
      </c>
      <c r="H301" t="str">
        <f t="shared" ca="1" si="45"/>
        <v>Yes</v>
      </c>
      <c r="I301" t="str">
        <f t="shared" ca="1" si="46"/>
        <v>No</v>
      </c>
      <c r="J301" t="str">
        <f t="shared" ca="1" si="47"/>
        <v>High</v>
      </c>
      <c r="K301" t="str">
        <f t="shared" ca="1" si="48"/>
        <v>Pass</v>
      </c>
      <c r="L301" s="4" t="str" cm="1">
        <f t="array" aca="1" ref="L301" ca="1">_xlfn.IFS(D301&gt;=85,"A", D301&gt;=70,"B", D301&gt;=50,"C", D301&lt;50,"D")</f>
        <v>B</v>
      </c>
      <c r="M301" t="str">
        <f t="shared" ca="1" si="49"/>
        <v>Low</v>
      </c>
    </row>
    <row r="302" spans="1:13" x14ac:dyDescent="0.3">
      <c r="A302" t="s">
        <v>344</v>
      </c>
      <c r="B302" t="str">
        <f t="shared" ca="1" si="40"/>
        <v>10-C</v>
      </c>
      <c r="C302" t="str">
        <f t="shared" ca="1" si="41"/>
        <v>English</v>
      </c>
      <c r="D302">
        <f t="shared" ca="1" si="42"/>
        <v>87.1</v>
      </c>
      <c r="E302">
        <v>100</v>
      </c>
      <c r="F302">
        <f t="shared" ca="1" si="43"/>
        <v>91</v>
      </c>
      <c r="G302" t="str">
        <f t="shared" ca="1" si="44"/>
        <v>None</v>
      </c>
      <c r="H302" t="str">
        <f t="shared" ca="1" si="45"/>
        <v>No</v>
      </c>
      <c r="I302" t="str">
        <f t="shared" ca="1" si="46"/>
        <v>Yes</v>
      </c>
      <c r="J302" t="str">
        <f t="shared" ca="1" si="47"/>
        <v>Low</v>
      </c>
      <c r="K302" t="str">
        <f t="shared" ca="1" si="48"/>
        <v>Pass</v>
      </c>
      <c r="L302" s="4" t="str" cm="1">
        <f t="array" aca="1" ref="L302" ca="1">_xlfn.IFS(D302&gt;=85,"A", D302&gt;=70,"B", D302&gt;=50,"C", D302&lt;50,"D")</f>
        <v>A</v>
      </c>
      <c r="M302" t="str">
        <f t="shared" ca="1" si="49"/>
        <v>High</v>
      </c>
    </row>
    <row r="303" spans="1:13" x14ac:dyDescent="0.3">
      <c r="A303" t="s">
        <v>345</v>
      </c>
      <c r="B303" t="str">
        <f t="shared" ca="1" si="40"/>
        <v>10-B</v>
      </c>
      <c r="C303" t="str">
        <f t="shared" ca="1" si="41"/>
        <v>English</v>
      </c>
      <c r="D303">
        <f t="shared" ca="1" si="42"/>
        <v>70.099999999999994</v>
      </c>
      <c r="E303">
        <v>100</v>
      </c>
      <c r="F303">
        <f t="shared" ca="1" si="43"/>
        <v>71</v>
      </c>
      <c r="G303" t="str">
        <f t="shared" ca="1" si="44"/>
        <v>Completed</v>
      </c>
      <c r="H303" t="str">
        <f t="shared" ca="1" si="45"/>
        <v>Yes</v>
      </c>
      <c r="I303" t="str">
        <f t="shared" ca="1" si="46"/>
        <v>No</v>
      </c>
      <c r="J303" t="str">
        <f t="shared" ca="1" si="47"/>
        <v>High</v>
      </c>
      <c r="K303" t="str">
        <f t="shared" ca="1" si="48"/>
        <v>Pass</v>
      </c>
      <c r="L303" s="4" t="str" cm="1">
        <f t="array" aca="1" ref="L303" ca="1">_xlfn.IFS(D303&gt;=85,"A", D303&gt;=70,"B", D303&gt;=50,"C", D303&lt;50,"D")</f>
        <v>B</v>
      </c>
      <c r="M303" t="str">
        <f t="shared" ca="1" si="49"/>
        <v>Low</v>
      </c>
    </row>
    <row r="304" spans="1:13" x14ac:dyDescent="0.3">
      <c r="A304" t="s">
        <v>346</v>
      </c>
      <c r="B304" t="str">
        <f t="shared" ca="1" si="40"/>
        <v>10-A</v>
      </c>
      <c r="C304" t="str">
        <f t="shared" ca="1" si="41"/>
        <v>Math</v>
      </c>
      <c r="D304">
        <f t="shared" ca="1" si="42"/>
        <v>42.7</v>
      </c>
      <c r="E304">
        <v>100</v>
      </c>
      <c r="F304">
        <f t="shared" ca="1" si="43"/>
        <v>87</v>
      </c>
      <c r="G304" t="str">
        <f t="shared" ca="1" si="44"/>
        <v>Completed</v>
      </c>
      <c r="H304" t="str">
        <f t="shared" ca="1" si="45"/>
        <v>No</v>
      </c>
      <c r="I304" t="str">
        <f t="shared" ca="1" si="46"/>
        <v>Yes</v>
      </c>
      <c r="J304" t="str">
        <f t="shared" ca="1" si="47"/>
        <v>Medium</v>
      </c>
      <c r="K304" t="str">
        <f t="shared" ca="1" si="48"/>
        <v>Pass</v>
      </c>
      <c r="L304" s="4" t="str" cm="1">
        <f t="array" aca="1" ref="L304" ca="1">_xlfn.IFS(D304&gt;=85,"A", D304&gt;=70,"B", D304&gt;=50,"C", D304&lt;50,"D")</f>
        <v>D</v>
      </c>
      <c r="M304" t="str">
        <f t="shared" ca="1" si="49"/>
        <v>High</v>
      </c>
    </row>
    <row r="305" spans="1:13" x14ac:dyDescent="0.3">
      <c r="A305" t="s">
        <v>347</v>
      </c>
      <c r="B305" t="str">
        <f t="shared" ca="1" si="40"/>
        <v>10-B</v>
      </c>
      <c r="C305" t="str">
        <f t="shared" ca="1" si="41"/>
        <v>English</v>
      </c>
      <c r="D305">
        <f t="shared" ca="1" si="42"/>
        <v>41.3</v>
      </c>
      <c r="E305">
        <v>100</v>
      </c>
      <c r="F305">
        <f t="shared" ca="1" si="43"/>
        <v>53</v>
      </c>
      <c r="G305" t="str">
        <f t="shared" ca="1" si="44"/>
        <v>None</v>
      </c>
      <c r="H305" t="str">
        <f t="shared" ca="1" si="45"/>
        <v>No</v>
      </c>
      <c r="I305" t="str">
        <f t="shared" ca="1" si="46"/>
        <v>No</v>
      </c>
      <c r="J305" t="str">
        <f t="shared" ca="1" si="47"/>
        <v>Critical</v>
      </c>
      <c r="K305" t="str">
        <f t="shared" ca="1" si="48"/>
        <v>Pass</v>
      </c>
      <c r="L305" s="4" t="str" cm="1">
        <f t="array" aca="1" ref="L305" ca="1">_xlfn.IFS(D305&gt;=85,"A", D305&gt;=70,"B", D305&gt;=50,"C", D305&lt;50,"D")</f>
        <v>D</v>
      </c>
      <c r="M305" t="str">
        <f t="shared" ca="1" si="49"/>
        <v>Low</v>
      </c>
    </row>
    <row r="306" spans="1:13" x14ac:dyDescent="0.3">
      <c r="A306" t="s">
        <v>348</v>
      </c>
      <c r="B306" t="str">
        <f t="shared" ca="1" si="40"/>
        <v>10-B</v>
      </c>
      <c r="C306" t="str">
        <f t="shared" ca="1" si="41"/>
        <v>English</v>
      </c>
      <c r="D306">
        <f t="shared" ca="1" si="42"/>
        <v>80.5</v>
      </c>
      <c r="E306">
        <v>100</v>
      </c>
      <c r="F306">
        <f t="shared" ca="1" si="43"/>
        <v>65</v>
      </c>
      <c r="G306" t="str">
        <f t="shared" ca="1" si="44"/>
        <v>Completed</v>
      </c>
      <c r="H306" t="str">
        <f t="shared" ca="1" si="45"/>
        <v>No</v>
      </c>
      <c r="I306" t="str">
        <f t="shared" ca="1" si="46"/>
        <v>Yes</v>
      </c>
      <c r="J306" t="str">
        <f t="shared" ca="1" si="47"/>
        <v>Low</v>
      </c>
      <c r="K306" t="str">
        <f t="shared" ca="1" si="48"/>
        <v>Pass</v>
      </c>
      <c r="L306" s="4" t="str" cm="1">
        <f t="array" aca="1" ref="L306" ca="1">_xlfn.IFS(D306&gt;=85,"A", D306&gt;=70,"B", D306&gt;=50,"C", D306&lt;50,"D")</f>
        <v>B</v>
      </c>
      <c r="M306" t="str">
        <f t="shared" ca="1" si="49"/>
        <v>Low</v>
      </c>
    </row>
    <row r="307" spans="1:13" x14ac:dyDescent="0.3">
      <c r="A307" t="s">
        <v>349</v>
      </c>
      <c r="B307" t="str">
        <f t="shared" ca="1" si="40"/>
        <v>10-A</v>
      </c>
      <c r="C307" t="str">
        <f t="shared" ca="1" si="41"/>
        <v>Math</v>
      </c>
      <c r="D307">
        <f t="shared" ca="1" si="42"/>
        <v>51.8</v>
      </c>
      <c r="E307">
        <v>100</v>
      </c>
      <c r="F307">
        <f t="shared" ca="1" si="43"/>
        <v>58</v>
      </c>
      <c r="G307" t="str">
        <f t="shared" ca="1" si="44"/>
        <v>None</v>
      </c>
      <c r="H307" t="str">
        <f t="shared" ca="1" si="45"/>
        <v>Yes</v>
      </c>
      <c r="I307" t="str">
        <f t="shared" ca="1" si="46"/>
        <v>Yes</v>
      </c>
      <c r="J307" t="str">
        <f t="shared" ca="1" si="47"/>
        <v>Low</v>
      </c>
      <c r="K307" t="str">
        <f t="shared" ca="1" si="48"/>
        <v>Pass</v>
      </c>
      <c r="L307" s="4" t="str" cm="1">
        <f t="array" aca="1" ref="L307" ca="1">_xlfn.IFS(D307&gt;=85,"A", D307&gt;=70,"B", D307&gt;=50,"C", D307&lt;50,"D")</f>
        <v>C</v>
      </c>
      <c r="M307" t="str">
        <f t="shared" ca="1" si="49"/>
        <v>Low</v>
      </c>
    </row>
    <row r="308" spans="1:13" x14ac:dyDescent="0.3">
      <c r="A308" t="s">
        <v>350</v>
      </c>
      <c r="B308" t="str">
        <f t="shared" ca="1" si="40"/>
        <v>10-A</v>
      </c>
      <c r="C308" t="str">
        <f t="shared" ca="1" si="41"/>
        <v>Science</v>
      </c>
      <c r="D308">
        <f t="shared" ca="1" si="42"/>
        <v>47.8</v>
      </c>
      <c r="E308">
        <v>100</v>
      </c>
      <c r="F308">
        <f t="shared" ca="1" si="43"/>
        <v>48</v>
      </c>
      <c r="G308" t="str">
        <f t="shared" ca="1" si="44"/>
        <v>Completed</v>
      </c>
      <c r="H308" t="str">
        <f t="shared" ca="1" si="45"/>
        <v>Yes</v>
      </c>
      <c r="I308" t="str">
        <f t="shared" ca="1" si="46"/>
        <v>Yes</v>
      </c>
      <c r="J308" t="str">
        <f t="shared" ca="1" si="47"/>
        <v>Medium</v>
      </c>
      <c r="K308" t="str">
        <f t="shared" ca="1" si="48"/>
        <v>Pass</v>
      </c>
      <c r="L308" s="4" t="str" cm="1">
        <f t="array" aca="1" ref="L308" ca="1">_xlfn.IFS(D308&gt;=85,"A", D308&gt;=70,"B", D308&gt;=50,"C", D308&lt;50,"D")</f>
        <v>D</v>
      </c>
      <c r="M308" t="str">
        <f t="shared" ca="1" si="49"/>
        <v>Low</v>
      </c>
    </row>
    <row r="309" spans="1:13" x14ac:dyDescent="0.3">
      <c r="A309" t="s">
        <v>351</v>
      </c>
      <c r="B309" t="str">
        <f t="shared" ca="1" si="40"/>
        <v>10-C</v>
      </c>
      <c r="C309" t="str">
        <f t="shared" ca="1" si="41"/>
        <v>English</v>
      </c>
      <c r="D309">
        <f t="shared" ca="1" si="42"/>
        <v>47.7</v>
      </c>
      <c r="E309">
        <v>100</v>
      </c>
      <c r="F309">
        <f t="shared" ca="1" si="43"/>
        <v>87</v>
      </c>
      <c r="G309" t="str">
        <f t="shared" ca="1" si="44"/>
        <v>Completed</v>
      </c>
      <c r="H309" t="str">
        <f t="shared" ca="1" si="45"/>
        <v>No</v>
      </c>
      <c r="I309" t="str">
        <f t="shared" ca="1" si="46"/>
        <v>Yes</v>
      </c>
      <c r="J309" t="str">
        <f t="shared" ca="1" si="47"/>
        <v>Medium</v>
      </c>
      <c r="K309" t="str">
        <f t="shared" ca="1" si="48"/>
        <v>Pass</v>
      </c>
      <c r="L309" s="4" t="str" cm="1">
        <f t="array" aca="1" ref="L309" ca="1">_xlfn.IFS(D309&gt;=85,"A", D309&gt;=70,"B", D309&gt;=50,"C", D309&lt;50,"D")</f>
        <v>D</v>
      </c>
      <c r="M309" t="str">
        <f t="shared" ca="1" si="49"/>
        <v>High</v>
      </c>
    </row>
    <row r="310" spans="1:13" x14ac:dyDescent="0.3">
      <c r="A310" t="s">
        <v>352</v>
      </c>
      <c r="B310" t="str">
        <f t="shared" ca="1" si="40"/>
        <v>10-C</v>
      </c>
      <c r="C310" t="str">
        <f t="shared" ca="1" si="41"/>
        <v>Math</v>
      </c>
      <c r="D310">
        <f t="shared" ca="1" si="42"/>
        <v>63.2</v>
      </c>
      <c r="E310">
        <v>100</v>
      </c>
      <c r="F310">
        <f t="shared" ca="1" si="43"/>
        <v>72</v>
      </c>
      <c r="G310" t="str">
        <f t="shared" ca="1" si="44"/>
        <v>None</v>
      </c>
      <c r="H310" t="str">
        <f t="shared" ca="1" si="45"/>
        <v>Yes</v>
      </c>
      <c r="I310" t="str">
        <f t="shared" ca="1" si="46"/>
        <v>No</v>
      </c>
      <c r="J310" t="str">
        <f t="shared" ca="1" si="47"/>
        <v>High</v>
      </c>
      <c r="K310" t="str">
        <f t="shared" ca="1" si="48"/>
        <v>Pass</v>
      </c>
      <c r="L310" s="4" t="str" cm="1">
        <f t="array" aca="1" ref="L310" ca="1">_xlfn.IFS(D310&gt;=85,"A", D310&gt;=70,"B", D310&gt;=50,"C", D310&lt;50,"D")</f>
        <v>C</v>
      </c>
      <c r="M310" t="str">
        <f t="shared" ca="1" si="49"/>
        <v>Low</v>
      </c>
    </row>
    <row r="311" spans="1:13" x14ac:dyDescent="0.3">
      <c r="A311" t="s">
        <v>353</v>
      </c>
      <c r="B311" t="str">
        <f t="shared" ca="1" si="40"/>
        <v>10-C</v>
      </c>
      <c r="C311" t="str">
        <f t="shared" ca="1" si="41"/>
        <v>Science</v>
      </c>
      <c r="D311">
        <f t="shared" ca="1" si="42"/>
        <v>54</v>
      </c>
      <c r="E311">
        <v>100</v>
      </c>
      <c r="F311">
        <f t="shared" ca="1" si="43"/>
        <v>70</v>
      </c>
      <c r="G311" t="str">
        <f t="shared" ca="1" si="44"/>
        <v>None</v>
      </c>
      <c r="H311" t="str">
        <f t="shared" ca="1" si="45"/>
        <v>No</v>
      </c>
      <c r="I311" t="str">
        <f t="shared" ca="1" si="46"/>
        <v>Yes</v>
      </c>
      <c r="J311" t="str">
        <f t="shared" ca="1" si="47"/>
        <v>Low</v>
      </c>
      <c r="K311" t="str">
        <f t="shared" ca="1" si="48"/>
        <v>Pass</v>
      </c>
      <c r="L311" s="4" t="str" cm="1">
        <f t="array" aca="1" ref="L311" ca="1">_xlfn.IFS(D311&gt;=85,"A", D311&gt;=70,"B", D311&gt;=50,"C", D311&lt;50,"D")</f>
        <v>C</v>
      </c>
      <c r="M311" t="str">
        <f t="shared" ca="1" si="49"/>
        <v>Low</v>
      </c>
    </row>
    <row r="312" spans="1:13" x14ac:dyDescent="0.3">
      <c r="A312" t="s">
        <v>354</v>
      </c>
      <c r="B312" t="str">
        <f t="shared" ca="1" si="40"/>
        <v>10-A</v>
      </c>
      <c r="C312" t="str">
        <f t="shared" ca="1" si="41"/>
        <v>English</v>
      </c>
      <c r="D312">
        <f t="shared" ca="1" si="42"/>
        <v>68.7</v>
      </c>
      <c r="E312">
        <v>100</v>
      </c>
      <c r="F312">
        <f t="shared" ca="1" si="43"/>
        <v>87</v>
      </c>
      <c r="G312" t="str">
        <f t="shared" ca="1" si="44"/>
        <v>Completed</v>
      </c>
      <c r="H312" t="str">
        <f t="shared" ca="1" si="45"/>
        <v>No</v>
      </c>
      <c r="I312" t="str">
        <f t="shared" ca="1" si="46"/>
        <v>Yes</v>
      </c>
      <c r="J312" t="str">
        <f t="shared" ca="1" si="47"/>
        <v>Low</v>
      </c>
      <c r="K312" t="str">
        <f t="shared" ca="1" si="48"/>
        <v>Pass</v>
      </c>
      <c r="L312" s="4" t="str" cm="1">
        <f t="array" aca="1" ref="L312" ca="1">_xlfn.IFS(D312&gt;=85,"A", D312&gt;=70,"B", D312&gt;=50,"C", D312&lt;50,"D")</f>
        <v>C</v>
      </c>
      <c r="M312" t="str">
        <f t="shared" ca="1" si="49"/>
        <v>High</v>
      </c>
    </row>
    <row r="313" spans="1:13" x14ac:dyDescent="0.3">
      <c r="A313" t="s">
        <v>355</v>
      </c>
      <c r="B313" t="str">
        <f t="shared" ca="1" si="40"/>
        <v>10-A</v>
      </c>
      <c r="C313" t="str">
        <f t="shared" ca="1" si="41"/>
        <v>Science</v>
      </c>
      <c r="D313">
        <f t="shared" ca="1" si="42"/>
        <v>38.200000000000003</v>
      </c>
      <c r="E313">
        <v>100</v>
      </c>
      <c r="F313">
        <f t="shared" ca="1" si="43"/>
        <v>52</v>
      </c>
      <c r="G313" t="str">
        <f t="shared" ca="1" si="44"/>
        <v>Completed</v>
      </c>
      <c r="H313" t="str">
        <f t="shared" ca="1" si="45"/>
        <v>Yes</v>
      </c>
      <c r="I313" t="str">
        <f t="shared" ca="1" si="46"/>
        <v>No</v>
      </c>
      <c r="J313" t="str">
        <f t="shared" ca="1" si="47"/>
        <v>Critical</v>
      </c>
      <c r="K313" t="str">
        <f t="shared" ca="1" si="48"/>
        <v>Fail</v>
      </c>
      <c r="L313" s="4" t="str" cm="1">
        <f t="array" aca="1" ref="L313" ca="1">_xlfn.IFS(D313&gt;=85,"A", D313&gt;=70,"B", D313&gt;=50,"C", D313&lt;50,"D")</f>
        <v>D</v>
      </c>
      <c r="M313" t="str">
        <f t="shared" ca="1" si="49"/>
        <v>Low</v>
      </c>
    </row>
    <row r="314" spans="1:13" x14ac:dyDescent="0.3">
      <c r="A314" t="s">
        <v>356</v>
      </c>
      <c r="B314" t="str">
        <f t="shared" ca="1" si="40"/>
        <v>10-B</v>
      </c>
      <c r="C314" t="str">
        <f t="shared" ca="1" si="41"/>
        <v>Science</v>
      </c>
      <c r="D314">
        <f t="shared" ca="1" si="42"/>
        <v>55.9</v>
      </c>
      <c r="E314">
        <v>100</v>
      </c>
      <c r="F314">
        <f t="shared" ca="1" si="43"/>
        <v>89</v>
      </c>
      <c r="G314" t="str">
        <f t="shared" ca="1" si="44"/>
        <v>Completed</v>
      </c>
      <c r="H314" t="str">
        <f t="shared" ca="1" si="45"/>
        <v>No</v>
      </c>
      <c r="I314" t="str">
        <f t="shared" ca="1" si="46"/>
        <v>Yes</v>
      </c>
      <c r="J314" t="str">
        <f t="shared" ca="1" si="47"/>
        <v>Low</v>
      </c>
      <c r="K314" t="str">
        <f t="shared" ca="1" si="48"/>
        <v>Pass</v>
      </c>
      <c r="L314" s="4" t="str" cm="1">
        <f t="array" aca="1" ref="L314" ca="1">_xlfn.IFS(D314&gt;=85,"A", D314&gt;=70,"B", D314&gt;=50,"C", D314&lt;50,"D")</f>
        <v>C</v>
      </c>
      <c r="M314" t="str">
        <f t="shared" ca="1" si="49"/>
        <v>High</v>
      </c>
    </row>
    <row r="315" spans="1:13" x14ac:dyDescent="0.3">
      <c r="A315" t="s">
        <v>357</v>
      </c>
      <c r="B315" t="str">
        <f t="shared" ca="1" si="40"/>
        <v>10-C</v>
      </c>
      <c r="C315" t="str">
        <f t="shared" ca="1" si="41"/>
        <v>Math</v>
      </c>
      <c r="D315">
        <f t="shared" ca="1" si="42"/>
        <v>61</v>
      </c>
      <c r="E315">
        <v>100</v>
      </c>
      <c r="F315">
        <f t="shared" ca="1" si="43"/>
        <v>90</v>
      </c>
      <c r="G315" t="str">
        <f t="shared" ca="1" si="44"/>
        <v>None</v>
      </c>
      <c r="H315" t="str">
        <f t="shared" ca="1" si="45"/>
        <v>Yes</v>
      </c>
      <c r="I315" t="str">
        <f t="shared" ca="1" si="46"/>
        <v>Yes</v>
      </c>
      <c r="J315" t="str">
        <f t="shared" ca="1" si="47"/>
        <v>Low</v>
      </c>
      <c r="K315" t="str">
        <f t="shared" ca="1" si="48"/>
        <v>Pass</v>
      </c>
      <c r="L315" s="4" t="str" cm="1">
        <f t="array" aca="1" ref="L315" ca="1">_xlfn.IFS(D315&gt;=85,"A", D315&gt;=70,"B", D315&gt;=50,"C", D315&lt;50,"D")</f>
        <v>C</v>
      </c>
      <c r="M315" t="str">
        <f t="shared" ca="1" si="49"/>
        <v>High</v>
      </c>
    </row>
    <row r="316" spans="1:13" x14ac:dyDescent="0.3">
      <c r="A316" t="s">
        <v>358</v>
      </c>
      <c r="B316" t="str">
        <f t="shared" ca="1" si="40"/>
        <v>10-A</v>
      </c>
      <c r="C316" t="str">
        <f t="shared" ca="1" si="41"/>
        <v>Science</v>
      </c>
      <c r="D316">
        <f t="shared" ca="1" si="42"/>
        <v>36.6</v>
      </c>
      <c r="E316">
        <v>100</v>
      </c>
      <c r="F316">
        <f t="shared" ca="1" si="43"/>
        <v>46</v>
      </c>
      <c r="G316" t="str">
        <f t="shared" ca="1" si="44"/>
        <v>None</v>
      </c>
      <c r="H316" t="str">
        <f t="shared" ca="1" si="45"/>
        <v>Yes</v>
      </c>
      <c r="I316" t="str">
        <f t="shared" ca="1" si="46"/>
        <v>No</v>
      </c>
      <c r="J316" t="str">
        <f t="shared" ca="1" si="47"/>
        <v>Critical</v>
      </c>
      <c r="K316" t="str">
        <f t="shared" ca="1" si="48"/>
        <v>Fail</v>
      </c>
      <c r="L316" s="4" t="str" cm="1">
        <f t="array" aca="1" ref="L316" ca="1">_xlfn.IFS(D316&gt;=85,"A", D316&gt;=70,"B", D316&gt;=50,"C", D316&lt;50,"D")</f>
        <v>D</v>
      </c>
      <c r="M316" t="str">
        <f t="shared" ca="1" si="49"/>
        <v>Low</v>
      </c>
    </row>
    <row r="317" spans="1:13" x14ac:dyDescent="0.3">
      <c r="A317" t="s">
        <v>359</v>
      </c>
      <c r="B317" t="str">
        <f t="shared" ca="1" si="40"/>
        <v>10-B</v>
      </c>
      <c r="C317" t="str">
        <f t="shared" ca="1" si="41"/>
        <v>Math</v>
      </c>
      <c r="D317">
        <f t="shared" ca="1" si="42"/>
        <v>63.6</v>
      </c>
      <c r="E317">
        <v>100</v>
      </c>
      <c r="F317">
        <f t="shared" ca="1" si="43"/>
        <v>66</v>
      </c>
      <c r="G317" t="str">
        <f t="shared" ca="1" si="44"/>
        <v>Completed</v>
      </c>
      <c r="H317" t="str">
        <f t="shared" ca="1" si="45"/>
        <v>Yes</v>
      </c>
      <c r="I317" t="str">
        <f t="shared" ca="1" si="46"/>
        <v>No</v>
      </c>
      <c r="J317" t="str">
        <f t="shared" ca="1" si="47"/>
        <v>High</v>
      </c>
      <c r="K317" t="str">
        <f t="shared" ca="1" si="48"/>
        <v>Pass</v>
      </c>
      <c r="L317" s="4" t="str" cm="1">
        <f t="array" aca="1" ref="L317" ca="1">_xlfn.IFS(D317&gt;=85,"A", D317&gt;=70,"B", D317&gt;=50,"C", D317&lt;50,"D")</f>
        <v>C</v>
      </c>
      <c r="M317" t="str">
        <f t="shared" ca="1" si="49"/>
        <v>Low</v>
      </c>
    </row>
    <row r="318" spans="1:13" x14ac:dyDescent="0.3">
      <c r="A318" t="s">
        <v>360</v>
      </c>
      <c r="B318" t="str">
        <f t="shared" ca="1" si="40"/>
        <v>10-A</v>
      </c>
      <c r="C318" t="str">
        <f t="shared" ca="1" si="41"/>
        <v>Science</v>
      </c>
      <c r="D318">
        <f t="shared" ca="1" si="42"/>
        <v>41.2</v>
      </c>
      <c r="E318">
        <v>100</v>
      </c>
      <c r="F318">
        <f t="shared" ca="1" si="43"/>
        <v>92</v>
      </c>
      <c r="G318" t="str">
        <f t="shared" ca="1" si="44"/>
        <v>Completed</v>
      </c>
      <c r="H318" t="str">
        <f t="shared" ca="1" si="45"/>
        <v>Yes</v>
      </c>
      <c r="I318" t="str">
        <f t="shared" ca="1" si="46"/>
        <v>No</v>
      </c>
      <c r="J318" t="str">
        <f t="shared" ca="1" si="47"/>
        <v>Critical</v>
      </c>
      <c r="K318" t="str">
        <f t="shared" ca="1" si="48"/>
        <v>Pass</v>
      </c>
      <c r="L318" s="4" t="str" cm="1">
        <f t="array" aca="1" ref="L318" ca="1">_xlfn.IFS(D318&gt;=85,"A", D318&gt;=70,"B", D318&gt;=50,"C", D318&lt;50,"D")</f>
        <v>D</v>
      </c>
      <c r="M318" t="str">
        <f t="shared" ca="1" si="49"/>
        <v>High</v>
      </c>
    </row>
    <row r="319" spans="1:13" x14ac:dyDescent="0.3">
      <c r="A319" t="s">
        <v>361</v>
      </c>
      <c r="B319" t="str">
        <f t="shared" ca="1" si="40"/>
        <v>10-C</v>
      </c>
      <c r="C319" t="str">
        <f t="shared" ca="1" si="41"/>
        <v>Math</v>
      </c>
      <c r="D319">
        <f t="shared" ca="1" si="42"/>
        <v>52.6</v>
      </c>
      <c r="E319">
        <v>100</v>
      </c>
      <c r="F319">
        <f t="shared" ca="1" si="43"/>
        <v>66</v>
      </c>
      <c r="G319" t="str">
        <f t="shared" ca="1" si="44"/>
        <v>Completed</v>
      </c>
      <c r="H319" t="str">
        <f t="shared" ca="1" si="45"/>
        <v>No</v>
      </c>
      <c r="I319" t="str">
        <f t="shared" ca="1" si="46"/>
        <v>No</v>
      </c>
      <c r="J319" t="str">
        <f t="shared" ca="1" si="47"/>
        <v>High</v>
      </c>
      <c r="K319" t="str">
        <f t="shared" ca="1" si="48"/>
        <v>Pass</v>
      </c>
      <c r="L319" s="4" t="str" cm="1">
        <f t="array" aca="1" ref="L319" ca="1">_xlfn.IFS(D319&gt;=85,"A", D319&gt;=70,"B", D319&gt;=50,"C", D319&lt;50,"D")</f>
        <v>C</v>
      </c>
      <c r="M319" t="str">
        <f t="shared" ca="1" si="49"/>
        <v>Low</v>
      </c>
    </row>
    <row r="320" spans="1:13" x14ac:dyDescent="0.3">
      <c r="A320" t="s">
        <v>362</v>
      </c>
      <c r="B320" t="str">
        <f t="shared" ca="1" si="40"/>
        <v>10-B</v>
      </c>
      <c r="C320" t="str">
        <f t="shared" ca="1" si="41"/>
        <v>English</v>
      </c>
      <c r="D320">
        <f t="shared" ca="1" si="42"/>
        <v>75.7</v>
      </c>
      <c r="E320">
        <v>100</v>
      </c>
      <c r="F320">
        <f t="shared" ca="1" si="43"/>
        <v>87</v>
      </c>
      <c r="G320" t="str">
        <f t="shared" ca="1" si="44"/>
        <v>None</v>
      </c>
      <c r="H320" t="str">
        <f t="shared" ca="1" si="45"/>
        <v>Yes</v>
      </c>
      <c r="I320" t="str">
        <f t="shared" ca="1" si="46"/>
        <v>No</v>
      </c>
      <c r="J320" t="str">
        <f t="shared" ca="1" si="47"/>
        <v>High</v>
      </c>
      <c r="K320" t="str">
        <f t="shared" ca="1" si="48"/>
        <v>Pass</v>
      </c>
      <c r="L320" s="4" t="str" cm="1">
        <f t="array" aca="1" ref="L320" ca="1">_xlfn.IFS(D320&gt;=85,"A", D320&gt;=70,"B", D320&gt;=50,"C", D320&lt;50,"D")</f>
        <v>B</v>
      </c>
      <c r="M320" t="str">
        <f t="shared" ca="1" si="49"/>
        <v>High</v>
      </c>
    </row>
    <row r="321" spans="1:13" x14ac:dyDescent="0.3">
      <c r="A321" t="s">
        <v>363</v>
      </c>
      <c r="B321" t="str">
        <f t="shared" ca="1" si="40"/>
        <v>10-A</v>
      </c>
      <c r="C321" t="str">
        <f t="shared" ca="1" si="41"/>
        <v>Science</v>
      </c>
      <c r="D321">
        <f t="shared" ca="1" si="42"/>
        <v>74.599999999999994</v>
      </c>
      <c r="E321">
        <v>100</v>
      </c>
      <c r="F321">
        <f t="shared" ca="1" si="43"/>
        <v>66</v>
      </c>
      <c r="G321" t="str">
        <f t="shared" ca="1" si="44"/>
        <v>None</v>
      </c>
      <c r="H321" t="str">
        <f t="shared" ca="1" si="45"/>
        <v>No</v>
      </c>
      <c r="I321" t="str">
        <f t="shared" ca="1" si="46"/>
        <v>Yes</v>
      </c>
      <c r="J321" t="str">
        <f t="shared" ca="1" si="47"/>
        <v>Low</v>
      </c>
      <c r="K321" t="str">
        <f t="shared" ca="1" si="48"/>
        <v>Pass</v>
      </c>
      <c r="L321" s="4" t="str" cm="1">
        <f t="array" aca="1" ref="L321" ca="1">_xlfn.IFS(D321&gt;=85,"A", D321&gt;=70,"B", D321&gt;=50,"C", D321&lt;50,"D")</f>
        <v>B</v>
      </c>
      <c r="M321" t="str">
        <f t="shared" ca="1" si="49"/>
        <v>Low</v>
      </c>
    </row>
    <row r="322" spans="1:13" x14ac:dyDescent="0.3">
      <c r="A322" t="s">
        <v>364</v>
      </c>
      <c r="B322" t="str">
        <f t="shared" ca="1" si="40"/>
        <v>10-C</v>
      </c>
      <c r="C322" t="str">
        <f t="shared" ca="1" si="41"/>
        <v>Science</v>
      </c>
      <c r="D322">
        <f t="shared" ca="1" si="42"/>
        <v>57.5</v>
      </c>
      <c r="E322">
        <v>100</v>
      </c>
      <c r="F322">
        <f t="shared" ca="1" si="43"/>
        <v>55</v>
      </c>
      <c r="G322" t="str">
        <f t="shared" ca="1" si="44"/>
        <v>Completed</v>
      </c>
      <c r="H322" t="str">
        <f t="shared" ca="1" si="45"/>
        <v>Yes</v>
      </c>
      <c r="I322" t="str">
        <f t="shared" ca="1" si="46"/>
        <v>No</v>
      </c>
      <c r="J322" t="str">
        <f t="shared" ca="1" si="47"/>
        <v>High</v>
      </c>
      <c r="K322" t="str">
        <f t="shared" ca="1" si="48"/>
        <v>Pass</v>
      </c>
      <c r="L322" s="4" t="str" cm="1">
        <f t="array" aca="1" ref="L322" ca="1">_xlfn.IFS(D322&gt;=85,"A", D322&gt;=70,"B", D322&gt;=50,"C", D322&lt;50,"D")</f>
        <v>C</v>
      </c>
      <c r="M322" t="str">
        <f t="shared" ca="1" si="49"/>
        <v>Low</v>
      </c>
    </row>
    <row r="323" spans="1:13" x14ac:dyDescent="0.3">
      <c r="A323" t="s">
        <v>365</v>
      </c>
      <c r="B323" t="str">
        <f t="shared" ref="B323:B386" ca="1" si="50">CHOOSE(RANDBETWEEN(1,3), "10-A", "10-B", "10-C")</f>
        <v>10-A</v>
      </c>
      <c r="C323" t="str">
        <f t="shared" ref="C323:C386" ca="1" si="51">CHOOSE(RANDBETWEEN(1,3), "Math", "Science", "English")</f>
        <v>Science</v>
      </c>
      <c r="D323">
        <f t="shared" ref="D323:D386" ca="1" si="52">MIN(100, RANDBETWEEN(30, 80) + (F323/10))</f>
        <v>85</v>
      </c>
      <c r="E323">
        <v>100</v>
      </c>
      <c r="F323">
        <f t="shared" ref="F323:F386" ca="1" si="53">RANDBETWEEN(40, 100)</f>
        <v>90</v>
      </c>
      <c r="G323" t="str">
        <f t="shared" ref="G323:G386" ca="1" si="54">IF(RANDBETWEEN(0,1)=1, "Completed", "None")</f>
        <v>Completed</v>
      </c>
      <c r="H323" t="str">
        <f t="shared" ref="H323:H386" ca="1" si="55">IF(RANDBETWEEN(1,10)&gt;3, "Yes", "No")</f>
        <v>No</v>
      </c>
      <c r="I323" t="str">
        <f t="shared" ref="I323:I386" ca="1" si="56">IF(RANDBETWEEN(1,10)&gt;3, "Yes", "No")</f>
        <v>Yes</v>
      </c>
      <c r="J323" t="str">
        <f t="shared" ref="J323:J386" ca="1" si="57">IF(TRIM(I323)="No", IF(VALUE(D323)&lt;50, "Critical", "High"), IF(VALUE(D323)&lt;50, "Medium", "Low"))</f>
        <v>Low</v>
      </c>
      <c r="K323" t="str">
        <f t="shared" ref="K323:K386" ca="1" si="58">IF(D323&gt;=40, "Pass", "Fail")</f>
        <v>Pass</v>
      </c>
      <c r="L323" s="4" t="str" cm="1">
        <f t="array" aca="1" ref="L323" ca="1">_xlfn.IFS(D323&gt;=85,"A", D323&gt;=70,"B", D323&gt;=50,"C", D323&lt;50,"D")</f>
        <v>A</v>
      </c>
      <c r="M323" t="str">
        <f t="shared" ref="M323:M386" ca="1" si="59">IF(F323&gt;=85, "High", IF(F323&gt;=75, "Medium", "Low"))</f>
        <v>High</v>
      </c>
    </row>
    <row r="324" spans="1:13" x14ac:dyDescent="0.3">
      <c r="A324" t="s">
        <v>366</v>
      </c>
      <c r="B324" t="str">
        <f t="shared" ca="1" si="50"/>
        <v>10-B</v>
      </c>
      <c r="C324" t="str">
        <f t="shared" ca="1" si="51"/>
        <v>English</v>
      </c>
      <c r="D324">
        <f t="shared" ca="1" si="52"/>
        <v>53</v>
      </c>
      <c r="E324">
        <v>100</v>
      </c>
      <c r="F324">
        <f t="shared" ca="1" si="53"/>
        <v>40</v>
      </c>
      <c r="G324" t="str">
        <f t="shared" ca="1" si="54"/>
        <v>None</v>
      </c>
      <c r="H324" t="str">
        <f t="shared" ca="1" si="55"/>
        <v>No</v>
      </c>
      <c r="I324" t="str">
        <f t="shared" ca="1" si="56"/>
        <v>Yes</v>
      </c>
      <c r="J324" t="str">
        <f t="shared" ca="1" si="57"/>
        <v>Low</v>
      </c>
      <c r="K324" t="str">
        <f t="shared" ca="1" si="58"/>
        <v>Pass</v>
      </c>
      <c r="L324" s="4" t="str" cm="1">
        <f t="array" aca="1" ref="L324" ca="1">_xlfn.IFS(D324&gt;=85,"A", D324&gt;=70,"B", D324&gt;=50,"C", D324&lt;50,"D")</f>
        <v>C</v>
      </c>
      <c r="M324" t="str">
        <f t="shared" ca="1" si="59"/>
        <v>Low</v>
      </c>
    </row>
    <row r="325" spans="1:13" x14ac:dyDescent="0.3">
      <c r="A325" t="s">
        <v>367</v>
      </c>
      <c r="B325" t="str">
        <f t="shared" ca="1" si="50"/>
        <v>10-B</v>
      </c>
      <c r="C325" t="str">
        <f t="shared" ca="1" si="51"/>
        <v>English</v>
      </c>
      <c r="D325">
        <f t="shared" ca="1" si="52"/>
        <v>60.8</v>
      </c>
      <c r="E325">
        <v>100</v>
      </c>
      <c r="F325">
        <f t="shared" ca="1" si="53"/>
        <v>88</v>
      </c>
      <c r="G325" t="str">
        <f t="shared" ca="1" si="54"/>
        <v>None</v>
      </c>
      <c r="H325" t="str">
        <f t="shared" ca="1" si="55"/>
        <v>Yes</v>
      </c>
      <c r="I325" t="str">
        <f t="shared" ca="1" si="56"/>
        <v>Yes</v>
      </c>
      <c r="J325" t="str">
        <f t="shared" ca="1" si="57"/>
        <v>Low</v>
      </c>
      <c r="K325" t="str">
        <f t="shared" ca="1" si="58"/>
        <v>Pass</v>
      </c>
      <c r="L325" s="4" t="str" cm="1">
        <f t="array" aca="1" ref="L325" ca="1">_xlfn.IFS(D325&gt;=85,"A", D325&gt;=70,"B", D325&gt;=50,"C", D325&lt;50,"D")</f>
        <v>C</v>
      </c>
      <c r="M325" t="str">
        <f t="shared" ca="1" si="59"/>
        <v>High</v>
      </c>
    </row>
    <row r="326" spans="1:13" x14ac:dyDescent="0.3">
      <c r="A326" t="s">
        <v>368</v>
      </c>
      <c r="B326" t="str">
        <f t="shared" ca="1" si="50"/>
        <v>10-C</v>
      </c>
      <c r="C326" t="str">
        <f t="shared" ca="1" si="51"/>
        <v>Math</v>
      </c>
      <c r="D326">
        <f t="shared" ca="1" si="52"/>
        <v>80.5</v>
      </c>
      <c r="E326">
        <v>100</v>
      </c>
      <c r="F326">
        <f t="shared" ca="1" si="53"/>
        <v>95</v>
      </c>
      <c r="G326" t="str">
        <f t="shared" ca="1" si="54"/>
        <v>None</v>
      </c>
      <c r="H326" t="str">
        <f t="shared" ca="1" si="55"/>
        <v>Yes</v>
      </c>
      <c r="I326" t="str">
        <f t="shared" ca="1" si="56"/>
        <v>Yes</v>
      </c>
      <c r="J326" t="str">
        <f t="shared" ca="1" si="57"/>
        <v>Low</v>
      </c>
      <c r="K326" t="str">
        <f t="shared" ca="1" si="58"/>
        <v>Pass</v>
      </c>
      <c r="L326" s="4" t="str" cm="1">
        <f t="array" aca="1" ref="L326" ca="1">_xlfn.IFS(D326&gt;=85,"A", D326&gt;=70,"B", D326&gt;=50,"C", D326&lt;50,"D")</f>
        <v>B</v>
      </c>
      <c r="M326" t="str">
        <f t="shared" ca="1" si="59"/>
        <v>High</v>
      </c>
    </row>
    <row r="327" spans="1:13" x14ac:dyDescent="0.3">
      <c r="A327" t="s">
        <v>369</v>
      </c>
      <c r="B327" t="str">
        <f t="shared" ca="1" si="50"/>
        <v>10-A</v>
      </c>
      <c r="C327" t="str">
        <f t="shared" ca="1" si="51"/>
        <v>Math</v>
      </c>
      <c r="D327">
        <f t="shared" ca="1" si="52"/>
        <v>53</v>
      </c>
      <c r="E327">
        <v>100</v>
      </c>
      <c r="F327">
        <f t="shared" ca="1" si="53"/>
        <v>100</v>
      </c>
      <c r="G327" t="str">
        <f t="shared" ca="1" si="54"/>
        <v>Completed</v>
      </c>
      <c r="H327" t="str">
        <f t="shared" ca="1" si="55"/>
        <v>Yes</v>
      </c>
      <c r="I327" t="str">
        <f t="shared" ca="1" si="56"/>
        <v>Yes</v>
      </c>
      <c r="J327" t="str">
        <f t="shared" ca="1" si="57"/>
        <v>Low</v>
      </c>
      <c r="K327" t="str">
        <f t="shared" ca="1" si="58"/>
        <v>Pass</v>
      </c>
      <c r="L327" s="4" t="str" cm="1">
        <f t="array" aca="1" ref="L327" ca="1">_xlfn.IFS(D327&gt;=85,"A", D327&gt;=70,"B", D327&gt;=50,"C", D327&lt;50,"D")</f>
        <v>C</v>
      </c>
      <c r="M327" t="str">
        <f t="shared" ca="1" si="59"/>
        <v>High</v>
      </c>
    </row>
    <row r="328" spans="1:13" x14ac:dyDescent="0.3">
      <c r="A328" t="s">
        <v>370</v>
      </c>
      <c r="B328" t="str">
        <f t="shared" ca="1" si="50"/>
        <v>10-A</v>
      </c>
      <c r="C328" t="str">
        <f t="shared" ca="1" si="51"/>
        <v>Science</v>
      </c>
      <c r="D328">
        <f t="shared" ca="1" si="52"/>
        <v>46.9</v>
      </c>
      <c r="E328">
        <v>100</v>
      </c>
      <c r="F328">
        <f t="shared" ca="1" si="53"/>
        <v>79</v>
      </c>
      <c r="G328" t="str">
        <f t="shared" ca="1" si="54"/>
        <v>None</v>
      </c>
      <c r="H328" t="str">
        <f t="shared" ca="1" si="55"/>
        <v>Yes</v>
      </c>
      <c r="I328" t="str">
        <f t="shared" ca="1" si="56"/>
        <v>No</v>
      </c>
      <c r="J328" t="str">
        <f t="shared" ca="1" si="57"/>
        <v>Critical</v>
      </c>
      <c r="K328" t="str">
        <f t="shared" ca="1" si="58"/>
        <v>Pass</v>
      </c>
      <c r="L328" s="4" t="str" cm="1">
        <f t="array" aca="1" ref="L328" ca="1">_xlfn.IFS(D328&gt;=85,"A", D328&gt;=70,"B", D328&gt;=50,"C", D328&lt;50,"D")</f>
        <v>D</v>
      </c>
      <c r="M328" t="str">
        <f t="shared" ca="1" si="59"/>
        <v>Medium</v>
      </c>
    </row>
    <row r="329" spans="1:13" x14ac:dyDescent="0.3">
      <c r="A329" t="s">
        <v>371</v>
      </c>
      <c r="B329" t="str">
        <f t="shared" ca="1" si="50"/>
        <v>10-B</v>
      </c>
      <c r="C329" t="str">
        <f t="shared" ca="1" si="51"/>
        <v>Math</v>
      </c>
      <c r="D329">
        <f t="shared" ca="1" si="52"/>
        <v>85.9</v>
      </c>
      <c r="E329">
        <v>100</v>
      </c>
      <c r="F329">
        <f t="shared" ca="1" si="53"/>
        <v>79</v>
      </c>
      <c r="G329" t="str">
        <f t="shared" ca="1" si="54"/>
        <v>None</v>
      </c>
      <c r="H329" t="str">
        <f t="shared" ca="1" si="55"/>
        <v>Yes</v>
      </c>
      <c r="I329" t="str">
        <f t="shared" ca="1" si="56"/>
        <v>Yes</v>
      </c>
      <c r="J329" t="str">
        <f t="shared" ca="1" si="57"/>
        <v>Low</v>
      </c>
      <c r="K329" t="str">
        <f t="shared" ca="1" si="58"/>
        <v>Pass</v>
      </c>
      <c r="L329" s="4" t="str" cm="1">
        <f t="array" aca="1" ref="L329" ca="1">_xlfn.IFS(D329&gt;=85,"A", D329&gt;=70,"B", D329&gt;=50,"C", D329&lt;50,"D")</f>
        <v>A</v>
      </c>
      <c r="M329" t="str">
        <f t="shared" ca="1" si="59"/>
        <v>Medium</v>
      </c>
    </row>
    <row r="330" spans="1:13" x14ac:dyDescent="0.3">
      <c r="A330" t="s">
        <v>372</v>
      </c>
      <c r="B330" t="str">
        <f t="shared" ca="1" si="50"/>
        <v>10-C</v>
      </c>
      <c r="C330" t="str">
        <f t="shared" ca="1" si="51"/>
        <v>Science</v>
      </c>
      <c r="D330">
        <f t="shared" ca="1" si="52"/>
        <v>35.4</v>
      </c>
      <c r="E330">
        <v>100</v>
      </c>
      <c r="F330">
        <f t="shared" ca="1" si="53"/>
        <v>54</v>
      </c>
      <c r="G330" t="str">
        <f t="shared" ca="1" si="54"/>
        <v>None</v>
      </c>
      <c r="H330" t="str">
        <f t="shared" ca="1" si="55"/>
        <v>Yes</v>
      </c>
      <c r="I330" t="str">
        <f t="shared" ca="1" si="56"/>
        <v>No</v>
      </c>
      <c r="J330" t="str">
        <f t="shared" ca="1" si="57"/>
        <v>Critical</v>
      </c>
      <c r="K330" t="str">
        <f t="shared" ca="1" si="58"/>
        <v>Fail</v>
      </c>
      <c r="L330" s="4" t="str" cm="1">
        <f t="array" aca="1" ref="L330" ca="1">_xlfn.IFS(D330&gt;=85,"A", D330&gt;=70,"B", D330&gt;=50,"C", D330&lt;50,"D")</f>
        <v>D</v>
      </c>
      <c r="M330" t="str">
        <f t="shared" ca="1" si="59"/>
        <v>Low</v>
      </c>
    </row>
    <row r="331" spans="1:13" x14ac:dyDescent="0.3">
      <c r="A331" t="s">
        <v>373</v>
      </c>
      <c r="B331" t="str">
        <f t="shared" ca="1" si="50"/>
        <v>10-C</v>
      </c>
      <c r="C331" t="str">
        <f t="shared" ca="1" si="51"/>
        <v>Math</v>
      </c>
      <c r="D331">
        <f t="shared" ca="1" si="52"/>
        <v>84.6</v>
      </c>
      <c r="E331">
        <v>100</v>
      </c>
      <c r="F331">
        <f t="shared" ca="1" si="53"/>
        <v>96</v>
      </c>
      <c r="G331" t="str">
        <f t="shared" ca="1" si="54"/>
        <v>Completed</v>
      </c>
      <c r="H331" t="str">
        <f t="shared" ca="1" si="55"/>
        <v>Yes</v>
      </c>
      <c r="I331" t="str">
        <f t="shared" ca="1" si="56"/>
        <v>Yes</v>
      </c>
      <c r="J331" t="str">
        <f t="shared" ca="1" si="57"/>
        <v>Low</v>
      </c>
      <c r="K331" t="str">
        <f t="shared" ca="1" si="58"/>
        <v>Pass</v>
      </c>
      <c r="L331" s="4" t="str" cm="1">
        <f t="array" aca="1" ref="L331" ca="1">_xlfn.IFS(D331&gt;=85,"A", D331&gt;=70,"B", D331&gt;=50,"C", D331&lt;50,"D")</f>
        <v>B</v>
      </c>
      <c r="M331" t="str">
        <f t="shared" ca="1" si="59"/>
        <v>High</v>
      </c>
    </row>
    <row r="332" spans="1:13" x14ac:dyDescent="0.3">
      <c r="A332" t="s">
        <v>374</v>
      </c>
      <c r="B332" t="str">
        <f t="shared" ca="1" si="50"/>
        <v>10-C</v>
      </c>
      <c r="C332" t="str">
        <f t="shared" ca="1" si="51"/>
        <v>Math</v>
      </c>
      <c r="D332">
        <f t="shared" ca="1" si="52"/>
        <v>80.7</v>
      </c>
      <c r="E332">
        <v>100</v>
      </c>
      <c r="F332">
        <f t="shared" ca="1" si="53"/>
        <v>57</v>
      </c>
      <c r="G332" t="str">
        <f t="shared" ca="1" si="54"/>
        <v>None</v>
      </c>
      <c r="H332" t="str">
        <f t="shared" ca="1" si="55"/>
        <v>Yes</v>
      </c>
      <c r="I332" t="str">
        <f t="shared" ca="1" si="56"/>
        <v>Yes</v>
      </c>
      <c r="J332" t="str">
        <f t="shared" ca="1" si="57"/>
        <v>Low</v>
      </c>
      <c r="K332" t="str">
        <f t="shared" ca="1" si="58"/>
        <v>Pass</v>
      </c>
      <c r="L332" s="4" t="str" cm="1">
        <f t="array" aca="1" ref="L332" ca="1">_xlfn.IFS(D332&gt;=85,"A", D332&gt;=70,"B", D332&gt;=50,"C", D332&lt;50,"D")</f>
        <v>B</v>
      </c>
      <c r="M332" t="str">
        <f t="shared" ca="1" si="59"/>
        <v>Low</v>
      </c>
    </row>
    <row r="333" spans="1:13" x14ac:dyDescent="0.3">
      <c r="A333" t="s">
        <v>375</v>
      </c>
      <c r="B333" t="str">
        <f t="shared" ca="1" si="50"/>
        <v>10-C</v>
      </c>
      <c r="C333" t="str">
        <f t="shared" ca="1" si="51"/>
        <v>English</v>
      </c>
      <c r="D333">
        <f t="shared" ca="1" si="52"/>
        <v>38.700000000000003</v>
      </c>
      <c r="E333">
        <v>100</v>
      </c>
      <c r="F333">
        <f t="shared" ca="1" si="53"/>
        <v>87</v>
      </c>
      <c r="G333" t="str">
        <f t="shared" ca="1" si="54"/>
        <v>None</v>
      </c>
      <c r="H333" t="str">
        <f t="shared" ca="1" si="55"/>
        <v>No</v>
      </c>
      <c r="I333" t="str">
        <f t="shared" ca="1" si="56"/>
        <v>Yes</v>
      </c>
      <c r="J333" t="str">
        <f t="shared" ca="1" si="57"/>
        <v>Medium</v>
      </c>
      <c r="K333" t="str">
        <f t="shared" ca="1" si="58"/>
        <v>Fail</v>
      </c>
      <c r="L333" s="4" t="str" cm="1">
        <f t="array" aca="1" ref="L333" ca="1">_xlfn.IFS(D333&gt;=85,"A", D333&gt;=70,"B", D333&gt;=50,"C", D333&lt;50,"D")</f>
        <v>D</v>
      </c>
      <c r="M333" t="str">
        <f t="shared" ca="1" si="59"/>
        <v>High</v>
      </c>
    </row>
    <row r="334" spans="1:13" x14ac:dyDescent="0.3">
      <c r="A334" t="s">
        <v>376</v>
      </c>
      <c r="B334" t="str">
        <f t="shared" ca="1" si="50"/>
        <v>10-A</v>
      </c>
      <c r="C334" t="str">
        <f t="shared" ca="1" si="51"/>
        <v>Science</v>
      </c>
      <c r="D334">
        <f t="shared" ca="1" si="52"/>
        <v>42.7</v>
      </c>
      <c r="E334">
        <v>100</v>
      </c>
      <c r="F334">
        <f t="shared" ca="1" si="53"/>
        <v>57</v>
      </c>
      <c r="G334" t="str">
        <f t="shared" ca="1" si="54"/>
        <v>Completed</v>
      </c>
      <c r="H334" t="str">
        <f t="shared" ca="1" si="55"/>
        <v>No</v>
      </c>
      <c r="I334" t="str">
        <f t="shared" ca="1" si="56"/>
        <v>Yes</v>
      </c>
      <c r="J334" t="str">
        <f t="shared" ca="1" si="57"/>
        <v>Medium</v>
      </c>
      <c r="K334" t="str">
        <f t="shared" ca="1" si="58"/>
        <v>Pass</v>
      </c>
      <c r="L334" s="4" t="str" cm="1">
        <f t="array" aca="1" ref="L334" ca="1">_xlfn.IFS(D334&gt;=85,"A", D334&gt;=70,"B", D334&gt;=50,"C", D334&lt;50,"D")</f>
        <v>D</v>
      </c>
      <c r="M334" t="str">
        <f t="shared" ca="1" si="59"/>
        <v>Low</v>
      </c>
    </row>
    <row r="335" spans="1:13" x14ac:dyDescent="0.3">
      <c r="A335" t="s">
        <v>377</v>
      </c>
      <c r="B335" t="str">
        <f t="shared" ca="1" si="50"/>
        <v>10-B</v>
      </c>
      <c r="C335" t="str">
        <f t="shared" ca="1" si="51"/>
        <v>Science</v>
      </c>
      <c r="D335">
        <f t="shared" ca="1" si="52"/>
        <v>66.5</v>
      </c>
      <c r="E335">
        <v>100</v>
      </c>
      <c r="F335">
        <f t="shared" ca="1" si="53"/>
        <v>85</v>
      </c>
      <c r="G335" t="str">
        <f t="shared" ca="1" si="54"/>
        <v>None</v>
      </c>
      <c r="H335" t="str">
        <f t="shared" ca="1" si="55"/>
        <v>Yes</v>
      </c>
      <c r="I335" t="str">
        <f t="shared" ca="1" si="56"/>
        <v>No</v>
      </c>
      <c r="J335" t="str">
        <f t="shared" ca="1" si="57"/>
        <v>High</v>
      </c>
      <c r="K335" t="str">
        <f t="shared" ca="1" si="58"/>
        <v>Pass</v>
      </c>
      <c r="L335" s="4" t="str" cm="1">
        <f t="array" aca="1" ref="L335" ca="1">_xlfn.IFS(D335&gt;=85,"A", D335&gt;=70,"B", D335&gt;=50,"C", D335&lt;50,"D")</f>
        <v>C</v>
      </c>
      <c r="M335" t="str">
        <f t="shared" ca="1" si="59"/>
        <v>High</v>
      </c>
    </row>
    <row r="336" spans="1:13" x14ac:dyDescent="0.3">
      <c r="A336" t="s">
        <v>378</v>
      </c>
      <c r="B336" t="str">
        <f t="shared" ca="1" si="50"/>
        <v>10-B</v>
      </c>
      <c r="C336" t="str">
        <f t="shared" ca="1" si="51"/>
        <v>Science</v>
      </c>
      <c r="D336">
        <f t="shared" ca="1" si="52"/>
        <v>42.7</v>
      </c>
      <c r="E336">
        <v>100</v>
      </c>
      <c r="F336">
        <f t="shared" ca="1" si="53"/>
        <v>97</v>
      </c>
      <c r="G336" t="str">
        <f t="shared" ca="1" si="54"/>
        <v>Completed</v>
      </c>
      <c r="H336" t="str">
        <f t="shared" ca="1" si="55"/>
        <v>Yes</v>
      </c>
      <c r="I336" t="str">
        <f t="shared" ca="1" si="56"/>
        <v>No</v>
      </c>
      <c r="J336" t="str">
        <f t="shared" ca="1" si="57"/>
        <v>Critical</v>
      </c>
      <c r="K336" t="str">
        <f t="shared" ca="1" si="58"/>
        <v>Pass</v>
      </c>
      <c r="L336" s="4" t="str" cm="1">
        <f t="array" aca="1" ref="L336" ca="1">_xlfn.IFS(D336&gt;=85,"A", D336&gt;=70,"B", D336&gt;=50,"C", D336&lt;50,"D")</f>
        <v>D</v>
      </c>
      <c r="M336" t="str">
        <f t="shared" ca="1" si="59"/>
        <v>High</v>
      </c>
    </row>
    <row r="337" spans="1:13" x14ac:dyDescent="0.3">
      <c r="A337" t="s">
        <v>379</v>
      </c>
      <c r="B337" t="str">
        <f t="shared" ca="1" si="50"/>
        <v>10-C</v>
      </c>
      <c r="C337" t="str">
        <f t="shared" ca="1" si="51"/>
        <v>English</v>
      </c>
      <c r="D337">
        <f t="shared" ca="1" si="52"/>
        <v>42.9</v>
      </c>
      <c r="E337">
        <v>100</v>
      </c>
      <c r="F337">
        <f t="shared" ca="1" si="53"/>
        <v>79</v>
      </c>
      <c r="G337" t="str">
        <f t="shared" ca="1" si="54"/>
        <v>Completed</v>
      </c>
      <c r="H337" t="str">
        <f t="shared" ca="1" si="55"/>
        <v>No</v>
      </c>
      <c r="I337" t="str">
        <f t="shared" ca="1" si="56"/>
        <v>No</v>
      </c>
      <c r="J337" t="str">
        <f t="shared" ca="1" si="57"/>
        <v>Critical</v>
      </c>
      <c r="K337" t="str">
        <f t="shared" ca="1" si="58"/>
        <v>Pass</v>
      </c>
      <c r="L337" s="4" t="str" cm="1">
        <f t="array" aca="1" ref="L337" ca="1">_xlfn.IFS(D337&gt;=85,"A", D337&gt;=70,"B", D337&gt;=50,"C", D337&lt;50,"D")</f>
        <v>D</v>
      </c>
      <c r="M337" t="str">
        <f t="shared" ca="1" si="59"/>
        <v>Medium</v>
      </c>
    </row>
    <row r="338" spans="1:13" x14ac:dyDescent="0.3">
      <c r="A338" t="s">
        <v>380</v>
      </c>
      <c r="B338" t="str">
        <f t="shared" ca="1" si="50"/>
        <v>10-B</v>
      </c>
      <c r="C338" t="str">
        <f t="shared" ca="1" si="51"/>
        <v>Math</v>
      </c>
      <c r="D338">
        <f t="shared" ca="1" si="52"/>
        <v>71.900000000000006</v>
      </c>
      <c r="E338">
        <v>100</v>
      </c>
      <c r="F338">
        <f t="shared" ca="1" si="53"/>
        <v>49</v>
      </c>
      <c r="G338" t="str">
        <f t="shared" ca="1" si="54"/>
        <v>Completed</v>
      </c>
      <c r="H338" t="str">
        <f t="shared" ca="1" si="55"/>
        <v>No</v>
      </c>
      <c r="I338" t="str">
        <f t="shared" ca="1" si="56"/>
        <v>Yes</v>
      </c>
      <c r="J338" t="str">
        <f t="shared" ca="1" si="57"/>
        <v>Low</v>
      </c>
      <c r="K338" t="str">
        <f t="shared" ca="1" si="58"/>
        <v>Pass</v>
      </c>
      <c r="L338" s="4" t="str" cm="1">
        <f t="array" aca="1" ref="L338" ca="1">_xlfn.IFS(D338&gt;=85,"A", D338&gt;=70,"B", D338&gt;=50,"C", D338&lt;50,"D")</f>
        <v>B</v>
      </c>
      <c r="M338" t="str">
        <f t="shared" ca="1" si="59"/>
        <v>Low</v>
      </c>
    </row>
    <row r="339" spans="1:13" x14ac:dyDescent="0.3">
      <c r="A339" t="s">
        <v>381</v>
      </c>
      <c r="B339" t="str">
        <f t="shared" ca="1" si="50"/>
        <v>10-A</v>
      </c>
      <c r="C339" t="str">
        <f t="shared" ca="1" si="51"/>
        <v>Science</v>
      </c>
      <c r="D339">
        <f t="shared" ca="1" si="52"/>
        <v>58</v>
      </c>
      <c r="E339">
        <v>100</v>
      </c>
      <c r="F339">
        <f t="shared" ca="1" si="53"/>
        <v>90</v>
      </c>
      <c r="G339" t="str">
        <f t="shared" ca="1" si="54"/>
        <v>Completed</v>
      </c>
      <c r="H339" t="str">
        <f t="shared" ca="1" si="55"/>
        <v>Yes</v>
      </c>
      <c r="I339" t="str">
        <f t="shared" ca="1" si="56"/>
        <v>Yes</v>
      </c>
      <c r="J339" t="str">
        <f t="shared" ca="1" si="57"/>
        <v>Low</v>
      </c>
      <c r="K339" t="str">
        <f t="shared" ca="1" si="58"/>
        <v>Pass</v>
      </c>
      <c r="L339" s="4" t="str" cm="1">
        <f t="array" aca="1" ref="L339" ca="1">_xlfn.IFS(D339&gt;=85,"A", D339&gt;=70,"B", D339&gt;=50,"C", D339&lt;50,"D")</f>
        <v>C</v>
      </c>
      <c r="M339" t="str">
        <f t="shared" ca="1" si="59"/>
        <v>High</v>
      </c>
    </row>
    <row r="340" spans="1:13" x14ac:dyDescent="0.3">
      <c r="A340" t="s">
        <v>382</v>
      </c>
      <c r="B340" t="str">
        <f t="shared" ca="1" si="50"/>
        <v>10-A</v>
      </c>
      <c r="C340" t="str">
        <f t="shared" ca="1" si="51"/>
        <v>Math</v>
      </c>
      <c r="D340">
        <f t="shared" ca="1" si="52"/>
        <v>69.099999999999994</v>
      </c>
      <c r="E340">
        <v>100</v>
      </c>
      <c r="F340">
        <f t="shared" ca="1" si="53"/>
        <v>51</v>
      </c>
      <c r="G340" t="str">
        <f t="shared" ca="1" si="54"/>
        <v>Completed</v>
      </c>
      <c r="H340" t="str">
        <f t="shared" ca="1" si="55"/>
        <v>No</v>
      </c>
      <c r="I340" t="str">
        <f t="shared" ca="1" si="56"/>
        <v>Yes</v>
      </c>
      <c r="J340" t="str">
        <f t="shared" ca="1" si="57"/>
        <v>Low</v>
      </c>
      <c r="K340" t="str">
        <f t="shared" ca="1" si="58"/>
        <v>Pass</v>
      </c>
      <c r="L340" s="4" t="str" cm="1">
        <f t="array" aca="1" ref="L340" ca="1">_xlfn.IFS(D340&gt;=85,"A", D340&gt;=70,"B", D340&gt;=50,"C", D340&lt;50,"D")</f>
        <v>C</v>
      </c>
      <c r="M340" t="str">
        <f t="shared" ca="1" si="59"/>
        <v>Low</v>
      </c>
    </row>
    <row r="341" spans="1:13" x14ac:dyDescent="0.3">
      <c r="A341" t="s">
        <v>383</v>
      </c>
      <c r="B341" t="str">
        <f t="shared" ca="1" si="50"/>
        <v>10-A</v>
      </c>
      <c r="C341" t="str">
        <f t="shared" ca="1" si="51"/>
        <v>Science</v>
      </c>
      <c r="D341">
        <f t="shared" ca="1" si="52"/>
        <v>66.099999999999994</v>
      </c>
      <c r="E341">
        <v>100</v>
      </c>
      <c r="F341">
        <f t="shared" ca="1" si="53"/>
        <v>81</v>
      </c>
      <c r="G341" t="str">
        <f t="shared" ca="1" si="54"/>
        <v>Completed</v>
      </c>
      <c r="H341" t="str">
        <f t="shared" ca="1" si="55"/>
        <v>No</v>
      </c>
      <c r="I341" t="str">
        <f t="shared" ca="1" si="56"/>
        <v>Yes</v>
      </c>
      <c r="J341" t="str">
        <f t="shared" ca="1" si="57"/>
        <v>Low</v>
      </c>
      <c r="K341" t="str">
        <f t="shared" ca="1" si="58"/>
        <v>Pass</v>
      </c>
      <c r="L341" s="4" t="str" cm="1">
        <f t="array" aca="1" ref="L341" ca="1">_xlfn.IFS(D341&gt;=85,"A", D341&gt;=70,"B", D341&gt;=50,"C", D341&lt;50,"D")</f>
        <v>C</v>
      </c>
      <c r="M341" t="str">
        <f t="shared" ca="1" si="59"/>
        <v>Medium</v>
      </c>
    </row>
    <row r="342" spans="1:13" x14ac:dyDescent="0.3">
      <c r="A342" t="s">
        <v>384</v>
      </c>
      <c r="B342" t="str">
        <f t="shared" ca="1" si="50"/>
        <v>10-A</v>
      </c>
      <c r="C342" t="str">
        <f t="shared" ca="1" si="51"/>
        <v>Science</v>
      </c>
      <c r="D342">
        <f t="shared" ca="1" si="52"/>
        <v>78.3</v>
      </c>
      <c r="E342">
        <v>100</v>
      </c>
      <c r="F342">
        <f t="shared" ca="1" si="53"/>
        <v>73</v>
      </c>
      <c r="G342" t="str">
        <f t="shared" ca="1" si="54"/>
        <v>Completed</v>
      </c>
      <c r="H342" t="str">
        <f t="shared" ca="1" si="55"/>
        <v>No</v>
      </c>
      <c r="I342" t="str">
        <f t="shared" ca="1" si="56"/>
        <v>Yes</v>
      </c>
      <c r="J342" t="str">
        <f t="shared" ca="1" si="57"/>
        <v>Low</v>
      </c>
      <c r="K342" t="str">
        <f t="shared" ca="1" si="58"/>
        <v>Pass</v>
      </c>
      <c r="L342" s="4" t="str" cm="1">
        <f t="array" aca="1" ref="L342" ca="1">_xlfn.IFS(D342&gt;=85,"A", D342&gt;=70,"B", D342&gt;=50,"C", D342&lt;50,"D")</f>
        <v>B</v>
      </c>
      <c r="M342" t="str">
        <f t="shared" ca="1" si="59"/>
        <v>Low</v>
      </c>
    </row>
    <row r="343" spans="1:13" x14ac:dyDescent="0.3">
      <c r="A343" t="s">
        <v>385</v>
      </c>
      <c r="B343" t="str">
        <f t="shared" ca="1" si="50"/>
        <v>10-B</v>
      </c>
      <c r="C343" t="str">
        <f t="shared" ca="1" si="51"/>
        <v>Math</v>
      </c>
      <c r="D343">
        <f t="shared" ca="1" si="52"/>
        <v>80.8</v>
      </c>
      <c r="E343">
        <v>100</v>
      </c>
      <c r="F343">
        <f t="shared" ca="1" si="53"/>
        <v>58</v>
      </c>
      <c r="G343" t="str">
        <f t="shared" ca="1" si="54"/>
        <v>Completed</v>
      </c>
      <c r="H343" t="str">
        <f t="shared" ca="1" si="55"/>
        <v>Yes</v>
      </c>
      <c r="I343" t="str">
        <f t="shared" ca="1" si="56"/>
        <v>Yes</v>
      </c>
      <c r="J343" t="str">
        <f t="shared" ca="1" si="57"/>
        <v>Low</v>
      </c>
      <c r="K343" t="str">
        <f t="shared" ca="1" si="58"/>
        <v>Pass</v>
      </c>
      <c r="L343" s="4" t="str" cm="1">
        <f t="array" aca="1" ref="L343" ca="1">_xlfn.IFS(D343&gt;=85,"A", D343&gt;=70,"B", D343&gt;=50,"C", D343&lt;50,"D")</f>
        <v>B</v>
      </c>
      <c r="M343" t="str">
        <f t="shared" ca="1" si="59"/>
        <v>Low</v>
      </c>
    </row>
    <row r="344" spans="1:13" x14ac:dyDescent="0.3">
      <c r="A344" t="s">
        <v>386</v>
      </c>
      <c r="B344" t="str">
        <f t="shared" ca="1" si="50"/>
        <v>10-C</v>
      </c>
      <c r="C344" t="str">
        <f t="shared" ca="1" si="51"/>
        <v>English</v>
      </c>
      <c r="D344">
        <f t="shared" ca="1" si="52"/>
        <v>75.7</v>
      </c>
      <c r="E344">
        <v>100</v>
      </c>
      <c r="F344">
        <f t="shared" ca="1" si="53"/>
        <v>57</v>
      </c>
      <c r="G344" t="str">
        <f t="shared" ca="1" si="54"/>
        <v>Completed</v>
      </c>
      <c r="H344" t="str">
        <f t="shared" ca="1" si="55"/>
        <v>Yes</v>
      </c>
      <c r="I344" t="str">
        <f t="shared" ca="1" si="56"/>
        <v>Yes</v>
      </c>
      <c r="J344" t="str">
        <f t="shared" ca="1" si="57"/>
        <v>Low</v>
      </c>
      <c r="K344" t="str">
        <f t="shared" ca="1" si="58"/>
        <v>Pass</v>
      </c>
      <c r="L344" s="4" t="str" cm="1">
        <f t="array" aca="1" ref="L344" ca="1">_xlfn.IFS(D344&gt;=85,"A", D344&gt;=70,"B", D344&gt;=50,"C", D344&lt;50,"D")</f>
        <v>B</v>
      </c>
      <c r="M344" t="str">
        <f t="shared" ca="1" si="59"/>
        <v>Low</v>
      </c>
    </row>
    <row r="345" spans="1:13" x14ac:dyDescent="0.3">
      <c r="A345" t="s">
        <v>387</v>
      </c>
      <c r="B345" t="str">
        <f t="shared" ca="1" si="50"/>
        <v>10-A</v>
      </c>
      <c r="C345" t="str">
        <f t="shared" ca="1" si="51"/>
        <v>English</v>
      </c>
      <c r="D345">
        <f t="shared" ca="1" si="52"/>
        <v>38.4</v>
      </c>
      <c r="E345">
        <v>100</v>
      </c>
      <c r="F345">
        <f t="shared" ca="1" si="53"/>
        <v>54</v>
      </c>
      <c r="G345" t="str">
        <f t="shared" ca="1" si="54"/>
        <v>None</v>
      </c>
      <c r="H345" t="str">
        <f t="shared" ca="1" si="55"/>
        <v>No</v>
      </c>
      <c r="I345" t="str">
        <f t="shared" ca="1" si="56"/>
        <v>Yes</v>
      </c>
      <c r="J345" t="str">
        <f t="shared" ca="1" si="57"/>
        <v>Medium</v>
      </c>
      <c r="K345" t="str">
        <f t="shared" ca="1" si="58"/>
        <v>Fail</v>
      </c>
      <c r="L345" s="4" t="str" cm="1">
        <f t="array" aca="1" ref="L345" ca="1">_xlfn.IFS(D345&gt;=85,"A", D345&gt;=70,"B", D345&gt;=50,"C", D345&lt;50,"D")</f>
        <v>D</v>
      </c>
      <c r="M345" t="str">
        <f t="shared" ca="1" si="59"/>
        <v>Low</v>
      </c>
    </row>
    <row r="346" spans="1:13" x14ac:dyDescent="0.3">
      <c r="A346" t="s">
        <v>388</v>
      </c>
      <c r="B346" t="str">
        <f t="shared" ca="1" si="50"/>
        <v>10-B</v>
      </c>
      <c r="C346" t="str">
        <f t="shared" ca="1" si="51"/>
        <v>Math</v>
      </c>
      <c r="D346">
        <f t="shared" ca="1" si="52"/>
        <v>79.400000000000006</v>
      </c>
      <c r="E346">
        <v>100</v>
      </c>
      <c r="F346">
        <f t="shared" ca="1" si="53"/>
        <v>94</v>
      </c>
      <c r="G346" t="str">
        <f t="shared" ca="1" si="54"/>
        <v>Completed</v>
      </c>
      <c r="H346" t="str">
        <f t="shared" ca="1" si="55"/>
        <v>Yes</v>
      </c>
      <c r="I346" t="str">
        <f t="shared" ca="1" si="56"/>
        <v>Yes</v>
      </c>
      <c r="J346" t="str">
        <f t="shared" ca="1" si="57"/>
        <v>Low</v>
      </c>
      <c r="K346" t="str">
        <f t="shared" ca="1" si="58"/>
        <v>Pass</v>
      </c>
      <c r="L346" s="4" t="str" cm="1">
        <f t="array" aca="1" ref="L346" ca="1">_xlfn.IFS(D346&gt;=85,"A", D346&gt;=70,"B", D346&gt;=50,"C", D346&lt;50,"D")</f>
        <v>B</v>
      </c>
      <c r="M346" t="str">
        <f t="shared" ca="1" si="59"/>
        <v>High</v>
      </c>
    </row>
    <row r="347" spans="1:13" x14ac:dyDescent="0.3">
      <c r="A347" t="s">
        <v>389</v>
      </c>
      <c r="B347" t="str">
        <f t="shared" ca="1" si="50"/>
        <v>10-B</v>
      </c>
      <c r="C347" t="str">
        <f t="shared" ca="1" si="51"/>
        <v>Math</v>
      </c>
      <c r="D347">
        <f t="shared" ca="1" si="52"/>
        <v>72.400000000000006</v>
      </c>
      <c r="E347">
        <v>100</v>
      </c>
      <c r="F347">
        <f t="shared" ca="1" si="53"/>
        <v>74</v>
      </c>
      <c r="G347" t="str">
        <f t="shared" ca="1" si="54"/>
        <v>None</v>
      </c>
      <c r="H347" t="str">
        <f t="shared" ca="1" si="55"/>
        <v>Yes</v>
      </c>
      <c r="I347" t="str">
        <f t="shared" ca="1" si="56"/>
        <v>Yes</v>
      </c>
      <c r="J347" t="str">
        <f t="shared" ca="1" si="57"/>
        <v>Low</v>
      </c>
      <c r="K347" t="str">
        <f t="shared" ca="1" si="58"/>
        <v>Pass</v>
      </c>
      <c r="L347" s="4" t="str" cm="1">
        <f t="array" aca="1" ref="L347" ca="1">_xlfn.IFS(D347&gt;=85,"A", D347&gt;=70,"B", D347&gt;=50,"C", D347&lt;50,"D")</f>
        <v>B</v>
      </c>
      <c r="M347" t="str">
        <f t="shared" ca="1" si="59"/>
        <v>Low</v>
      </c>
    </row>
    <row r="348" spans="1:13" x14ac:dyDescent="0.3">
      <c r="A348" t="s">
        <v>390</v>
      </c>
      <c r="B348" t="str">
        <f t="shared" ca="1" si="50"/>
        <v>10-A</v>
      </c>
      <c r="C348" t="str">
        <f t="shared" ca="1" si="51"/>
        <v>Math</v>
      </c>
      <c r="D348">
        <f t="shared" ca="1" si="52"/>
        <v>78</v>
      </c>
      <c r="E348">
        <v>100</v>
      </c>
      <c r="F348">
        <f t="shared" ca="1" si="53"/>
        <v>50</v>
      </c>
      <c r="G348" t="str">
        <f t="shared" ca="1" si="54"/>
        <v>None</v>
      </c>
      <c r="H348" t="str">
        <f t="shared" ca="1" si="55"/>
        <v>Yes</v>
      </c>
      <c r="I348" t="str">
        <f t="shared" ca="1" si="56"/>
        <v>Yes</v>
      </c>
      <c r="J348" t="str">
        <f t="shared" ca="1" si="57"/>
        <v>Low</v>
      </c>
      <c r="K348" t="str">
        <f t="shared" ca="1" si="58"/>
        <v>Pass</v>
      </c>
      <c r="L348" s="4" t="str" cm="1">
        <f t="array" aca="1" ref="L348" ca="1">_xlfn.IFS(D348&gt;=85,"A", D348&gt;=70,"B", D348&gt;=50,"C", D348&lt;50,"D")</f>
        <v>B</v>
      </c>
      <c r="M348" t="str">
        <f t="shared" ca="1" si="59"/>
        <v>Low</v>
      </c>
    </row>
    <row r="349" spans="1:13" x14ac:dyDescent="0.3">
      <c r="A349" t="s">
        <v>391</v>
      </c>
      <c r="B349" t="str">
        <f t="shared" ca="1" si="50"/>
        <v>10-C</v>
      </c>
      <c r="C349" t="str">
        <f t="shared" ca="1" si="51"/>
        <v>Math</v>
      </c>
      <c r="D349">
        <f t="shared" ca="1" si="52"/>
        <v>72.099999999999994</v>
      </c>
      <c r="E349">
        <v>100</v>
      </c>
      <c r="F349">
        <f t="shared" ca="1" si="53"/>
        <v>51</v>
      </c>
      <c r="G349" t="str">
        <f t="shared" ca="1" si="54"/>
        <v>Completed</v>
      </c>
      <c r="H349" t="str">
        <f t="shared" ca="1" si="55"/>
        <v>Yes</v>
      </c>
      <c r="I349" t="str">
        <f t="shared" ca="1" si="56"/>
        <v>Yes</v>
      </c>
      <c r="J349" t="str">
        <f t="shared" ca="1" si="57"/>
        <v>Low</v>
      </c>
      <c r="K349" t="str">
        <f t="shared" ca="1" si="58"/>
        <v>Pass</v>
      </c>
      <c r="L349" s="4" t="str" cm="1">
        <f t="array" aca="1" ref="L349" ca="1">_xlfn.IFS(D349&gt;=85,"A", D349&gt;=70,"B", D349&gt;=50,"C", D349&lt;50,"D")</f>
        <v>B</v>
      </c>
      <c r="M349" t="str">
        <f t="shared" ca="1" si="59"/>
        <v>Low</v>
      </c>
    </row>
    <row r="350" spans="1:13" x14ac:dyDescent="0.3">
      <c r="A350" t="s">
        <v>392</v>
      </c>
      <c r="B350" t="str">
        <f t="shared" ca="1" si="50"/>
        <v>10-A</v>
      </c>
      <c r="C350" t="str">
        <f t="shared" ca="1" si="51"/>
        <v>English</v>
      </c>
      <c r="D350">
        <f t="shared" ca="1" si="52"/>
        <v>82.1</v>
      </c>
      <c r="E350">
        <v>100</v>
      </c>
      <c r="F350">
        <f t="shared" ca="1" si="53"/>
        <v>91</v>
      </c>
      <c r="G350" t="str">
        <f t="shared" ca="1" si="54"/>
        <v>Completed</v>
      </c>
      <c r="H350" t="str">
        <f t="shared" ca="1" si="55"/>
        <v>Yes</v>
      </c>
      <c r="I350" t="str">
        <f t="shared" ca="1" si="56"/>
        <v>No</v>
      </c>
      <c r="J350" t="str">
        <f t="shared" ca="1" si="57"/>
        <v>High</v>
      </c>
      <c r="K350" t="str">
        <f t="shared" ca="1" si="58"/>
        <v>Pass</v>
      </c>
      <c r="L350" s="4" t="str" cm="1">
        <f t="array" aca="1" ref="L350" ca="1">_xlfn.IFS(D350&gt;=85,"A", D350&gt;=70,"B", D350&gt;=50,"C", D350&lt;50,"D")</f>
        <v>B</v>
      </c>
      <c r="M350" t="str">
        <f t="shared" ca="1" si="59"/>
        <v>High</v>
      </c>
    </row>
    <row r="351" spans="1:13" x14ac:dyDescent="0.3">
      <c r="A351" t="s">
        <v>393</v>
      </c>
      <c r="B351" t="str">
        <f t="shared" ca="1" si="50"/>
        <v>10-C</v>
      </c>
      <c r="C351" t="str">
        <f t="shared" ca="1" si="51"/>
        <v>Math</v>
      </c>
      <c r="D351">
        <f t="shared" ca="1" si="52"/>
        <v>58.2</v>
      </c>
      <c r="E351">
        <v>100</v>
      </c>
      <c r="F351">
        <f t="shared" ca="1" si="53"/>
        <v>52</v>
      </c>
      <c r="G351" t="str">
        <f t="shared" ca="1" si="54"/>
        <v>Completed</v>
      </c>
      <c r="H351" t="str">
        <f t="shared" ca="1" si="55"/>
        <v>Yes</v>
      </c>
      <c r="I351" t="str">
        <f t="shared" ca="1" si="56"/>
        <v>Yes</v>
      </c>
      <c r="J351" t="str">
        <f t="shared" ca="1" si="57"/>
        <v>Low</v>
      </c>
      <c r="K351" t="str">
        <f t="shared" ca="1" si="58"/>
        <v>Pass</v>
      </c>
      <c r="L351" s="4" t="str" cm="1">
        <f t="array" aca="1" ref="L351" ca="1">_xlfn.IFS(D351&gt;=85,"A", D351&gt;=70,"B", D351&gt;=50,"C", D351&lt;50,"D")</f>
        <v>C</v>
      </c>
      <c r="M351" t="str">
        <f t="shared" ca="1" si="59"/>
        <v>Low</v>
      </c>
    </row>
    <row r="352" spans="1:13" x14ac:dyDescent="0.3">
      <c r="A352" t="s">
        <v>394</v>
      </c>
      <c r="B352" t="str">
        <f t="shared" ca="1" si="50"/>
        <v>10-B</v>
      </c>
      <c r="C352" t="str">
        <f t="shared" ca="1" si="51"/>
        <v>English</v>
      </c>
      <c r="D352">
        <f t="shared" ca="1" si="52"/>
        <v>60.9</v>
      </c>
      <c r="E352">
        <v>100</v>
      </c>
      <c r="F352">
        <f t="shared" ca="1" si="53"/>
        <v>89</v>
      </c>
      <c r="G352" t="str">
        <f t="shared" ca="1" si="54"/>
        <v>Completed</v>
      </c>
      <c r="H352" t="str">
        <f t="shared" ca="1" si="55"/>
        <v>No</v>
      </c>
      <c r="I352" t="str">
        <f t="shared" ca="1" si="56"/>
        <v>No</v>
      </c>
      <c r="J352" t="str">
        <f t="shared" ca="1" si="57"/>
        <v>High</v>
      </c>
      <c r="K352" t="str">
        <f t="shared" ca="1" si="58"/>
        <v>Pass</v>
      </c>
      <c r="L352" s="4" t="str" cm="1">
        <f t="array" aca="1" ref="L352" ca="1">_xlfn.IFS(D352&gt;=85,"A", D352&gt;=70,"B", D352&gt;=50,"C", D352&lt;50,"D")</f>
        <v>C</v>
      </c>
      <c r="M352" t="str">
        <f t="shared" ca="1" si="59"/>
        <v>High</v>
      </c>
    </row>
    <row r="353" spans="1:13" x14ac:dyDescent="0.3">
      <c r="A353" t="s">
        <v>395</v>
      </c>
      <c r="B353" t="str">
        <f t="shared" ca="1" si="50"/>
        <v>10-C</v>
      </c>
      <c r="C353" t="str">
        <f t="shared" ca="1" si="51"/>
        <v>Math</v>
      </c>
      <c r="D353">
        <f t="shared" ca="1" si="52"/>
        <v>38.299999999999997</v>
      </c>
      <c r="E353">
        <v>100</v>
      </c>
      <c r="F353">
        <f t="shared" ca="1" si="53"/>
        <v>73</v>
      </c>
      <c r="G353" t="str">
        <f t="shared" ca="1" si="54"/>
        <v>None</v>
      </c>
      <c r="H353" t="str">
        <f t="shared" ca="1" si="55"/>
        <v>No</v>
      </c>
      <c r="I353" t="str">
        <f t="shared" ca="1" si="56"/>
        <v>Yes</v>
      </c>
      <c r="J353" t="str">
        <f t="shared" ca="1" si="57"/>
        <v>Medium</v>
      </c>
      <c r="K353" t="str">
        <f t="shared" ca="1" si="58"/>
        <v>Fail</v>
      </c>
      <c r="L353" s="4" t="str" cm="1">
        <f t="array" aca="1" ref="L353" ca="1">_xlfn.IFS(D353&gt;=85,"A", D353&gt;=70,"B", D353&gt;=50,"C", D353&lt;50,"D")</f>
        <v>D</v>
      </c>
      <c r="M353" t="str">
        <f t="shared" ca="1" si="59"/>
        <v>Low</v>
      </c>
    </row>
    <row r="354" spans="1:13" x14ac:dyDescent="0.3">
      <c r="A354" t="s">
        <v>396</v>
      </c>
      <c r="B354" t="str">
        <f t="shared" ca="1" si="50"/>
        <v>10-A</v>
      </c>
      <c r="C354" t="str">
        <f t="shared" ca="1" si="51"/>
        <v>English</v>
      </c>
      <c r="D354">
        <f t="shared" ca="1" si="52"/>
        <v>40.299999999999997</v>
      </c>
      <c r="E354">
        <v>100</v>
      </c>
      <c r="F354">
        <f t="shared" ca="1" si="53"/>
        <v>83</v>
      </c>
      <c r="G354" t="str">
        <f t="shared" ca="1" si="54"/>
        <v>Completed</v>
      </c>
      <c r="H354" t="str">
        <f t="shared" ca="1" si="55"/>
        <v>Yes</v>
      </c>
      <c r="I354" t="str">
        <f t="shared" ca="1" si="56"/>
        <v>Yes</v>
      </c>
      <c r="J354" t="str">
        <f t="shared" ca="1" si="57"/>
        <v>Medium</v>
      </c>
      <c r="K354" t="str">
        <f t="shared" ca="1" si="58"/>
        <v>Pass</v>
      </c>
      <c r="L354" s="4" t="str" cm="1">
        <f t="array" aca="1" ref="L354" ca="1">_xlfn.IFS(D354&gt;=85,"A", D354&gt;=70,"B", D354&gt;=50,"C", D354&lt;50,"D")</f>
        <v>D</v>
      </c>
      <c r="M354" t="str">
        <f t="shared" ca="1" si="59"/>
        <v>Medium</v>
      </c>
    </row>
    <row r="355" spans="1:13" x14ac:dyDescent="0.3">
      <c r="A355" t="s">
        <v>397</v>
      </c>
      <c r="B355" t="str">
        <f t="shared" ca="1" si="50"/>
        <v>10-C</v>
      </c>
      <c r="C355" t="str">
        <f t="shared" ca="1" si="51"/>
        <v>English</v>
      </c>
      <c r="D355">
        <f t="shared" ca="1" si="52"/>
        <v>79.5</v>
      </c>
      <c r="E355">
        <v>100</v>
      </c>
      <c r="F355">
        <f t="shared" ca="1" si="53"/>
        <v>85</v>
      </c>
      <c r="G355" t="str">
        <f t="shared" ca="1" si="54"/>
        <v>Completed</v>
      </c>
      <c r="H355" t="str">
        <f t="shared" ca="1" si="55"/>
        <v>Yes</v>
      </c>
      <c r="I355" t="str">
        <f t="shared" ca="1" si="56"/>
        <v>Yes</v>
      </c>
      <c r="J355" t="str">
        <f t="shared" ca="1" si="57"/>
        <v>Low</v>
      </c>
      <c r="K355" t="str">
        <f t="shared" ca="1" si="58"/>
        <v>Pass</v>
      </c>
      <c r="L355" s="4" t="str" cm="1">
        <f t="array" aca="1" ref="L355" ca="1">_xlfn.IFS(D355&gt;=85,"A", D355&gt;=70,"B", D355&gt;=50,"C", D355&lt;50,"D")</f>
        <v>B</v>
      </c>
      <c r="M355" t="str">
        <f t="shared" ca="1" si="59"/>
        <v>High</v>
      </c>
    </row>
    <row r="356" spans="1:13" x14ac:dyDescent="0.3">
      <c r="A356" t="s">
        <v>398</v>
      </c>
      <c r="B356" t="str">
        <f t="shared" ca="1" si="50"/>
        <v>10-C</v>
      </c>
      <c r="C356" t="str">
        <f t="shared" ca="1" si="51"/>
        <v>Science</v>
      </c>
      <c r="D356">
        <f t="shared" ca="1" si="52"/>
        <v>63.7</v>
      </c>
      <c r="E356">
        <v>100</v>
      </c>
      <c r="F356">
        <f t="shared" ca="1" si="53"/>
        <v>77</v>
      </c>
      <c r="G356" t="str">
        <f t="shared" ca="1" si="54"/>
        <v>Completed</v>
      </c>
      <c r="H356" t="str">
        <f t="shared" ca="1" si="55"/>
        <v>No</v>
      </c>
      <c r="I356" t="str">
        <f t="shared" ca="1" si="56"/>
        <v>No</v>
      </c>
      <c r="J356" t="str">
        <f t="shared" ca="1" si="57"/>
        <v>High</v>
      </c>
      <c r="K356" t="str">
        <f t="shared" ca="1" si="58"/>
        <v>Pass</v>
      </c>
      <c r="L356" s="4" t="str" cm="1">
        <f t="array" aca="1" ref="L356" ca="1">_xlfn.IFS(D356&gt;=85,"A", D356&gt;=70,"B", D356&gt;=50,"C", D356&lt;50,"D")</f>
        <v>C</v>
      </c>
      <c r="M356" t="str">
        <f t="shared" ca="1" si="59"/>
        <v>Medium</v>
      </c>
    </row>
    <row r="357" spans="1:13" x14ac:dyDescent="0.3">
      <c r="A357" t="s">
        <v>399</v>
      </c>
      <c r="B357" t="str">
        <f t="shared" ca="1" si="50"/>
        <v>10-A</v>
      </c>
      <c r="C357" t="str">
        <f t="shared" ca="1" si="51"/>
        <v>Math</v>
      </c>
      <c r="D357">
        <f t="shared" ca="1" si="52"/>
        <v>82.1</v>
      </c>
      <c r="E357">
        <v>100</v>
      </c>
      <c r="F357">
        <f t="shared" ca="1" si="53"/>
        <v>71</v>
      </c>
      <c r="G357" t="str">
        <f t="shared" ca="1" si="54"/>
        <v>Completed</v>
      </c>
      <c r="H357" t="str">
        <f t="shared" ca="1" si="55"/>
        <v>Yes</v>
      </c>
      <c r="I357" t="str">
        <f t="shared" ca="1" si="56"/>
        <v>No</v>
      </c>
      <c r="J357" t="str">
        <f t="shared" ca="1" si="57"/>
        <v>High</v>
      </c>
      <c r="K357" t="str">
        <f t="shared" ca="1" si="58"/>
        <v>Pass</v>
      </c>
      <c r="L357" s="4" t="str" cm="1">
        <f t="array" aca="1" ref="L357" ca="1">_xlfn.IFS(D357&gt;=85,"A", D357&gt;=70,"B", D357&gt;=50,"C", D357&lt;50,"D")</f>
        <v>B</v>
      </c>
      <c r="M357" t="str">
        <f t="shared" ca="1" si="59"/>
        <v>Low</v>
      </c>
    </row>
    <row r="358" spans="1:13" x14ac:dyDescent="0.3">
      <c r="A358" t="s">
        <v>400</v>
      </c>
      <c r="B358" t="str">
        <f t="shared" ca="1" si="50"/>
        <v>10-C</v>
      </c>
      <c r="C358" t="str">
        <f t="shared" ca="1" si="51"/>
        <v>English</v>
      </c>
      <c r="D358">
        <f t="shared" ca="1" si="52"/>
        <v>49.4</v>
      </c>
      <c r="E358">
        <v>100</v>
      </c>
      <c r="F358">
        <f t="shared" ca="1" si="53"/>
        <v>94</v>
      </c>
      <c r="G358" t="str">
        <f t="shared" ca="1" si="54"/>
        <v>Completed</v>
      </c>
      <c r="H358" t="str">
        <f t="shared" ca="1" si="55"/>
        <v>Yes</v>
      </c>
      <c r="I358" t="str">
        <f t="shared" ca="1" si="56"/>
        <v>No</v>
      </c>
      <c r="J358" t="str">
        <f t="shared" ca="1" si="57"/>
        <v>Critical</v>
      </c>
      <c r="K358" t="str">
        <f t="shared" ca="1" si="58"/>
        <v>Pass</v>
      </c>
      <c r="L358" s="4" t="str" cm="1">
        <f t="array" aca="1" ref="L358" ca="1">_xlfn.IFS(D358&gt;=85,"A", D358&gt;=70,"B", D358&gt;=50,"C", D358&lt;50,"D")</f>
        <v>D</v>
      </c>
      <c r="M358" t="str">
        <f t="shared" ca="1" si="59"/>
        <v>High</v>
      </c>
    </row>
    <row r="359" spans="1:13" x14ac:dyDescent="0.3">
      <c r="A359" t="s">
        <v>401</v>
      </c>
      <c r="B359" t="str">
        <f t="shared" ca="1" si="50"/>
        <v>10-A</v>
      </c>
      <c r="C359" t="str">
        <f t="shared" ca="1" si="51"/>
        <v>Science</v>
      </c>
      <c r="D359">
        <f t="shared" ca="1" si="52"/>
        <v>45.7</v>
      </c>
      <c r="E359">
        <v>100</v>
      </c>
      <c r="F359">
        <f t="shared" ca="1" si="53"/>
        <v>97</v>
      </c>
      <c r="G359" t="str">
        <f t="shared" ca="1" si="54"/>
        <v>None</v>
      </c>
      <c r="H359" t="str">
        <f t="shared" ca="1" si="55"/>
        <v>Yes</v>
      </c>
      <c r="I359" t="str">
        <f t="shared" ca="1" si="56"/>
        <v>Yes</v>
      </c>
      <c r="J359" t="str">
        <f t="shared" ca="1" si="57"/>
        <v>Medium</v>
      </c>
      <c r="K359" t="str">
        <f t="shared" ca="1" si="58"/>
        <v>Pass</v>
      </c>
      <c r="L359" s="4" t="str" cm="1">
        <f t="array" aca="1" ref="L359" ca="1">_xlfn.IFS(D359&gt;=85,"A", D359&gt;=70,"B", D359&gt;=50,"C", D359&lt;50,"D")</f>
        <v>D</v>
      </c>
      <c r="M359" t="str">
        <f t="shared" ca="1" si="59"/>
        <v>High</v>
      </c>
    </row>
    <row r="360" spans="1:13" x14ac:dyDescent="0.3">
      <c r="A360" t="s">
        <v>402</v>
      </c>
      <c r="B360" t="str">
        <f t="shared" ca="1" si="50"/>
        <v>10-B</v>
      </c>
      <c r="C360" t="str">
        <f t="shared" ca="1" si="51"/>
        <v>Science</v>
      </c>
      <c r="D360">
        <f t="shared" ca="1" si="52"/>
        <v>84</v>
      </c>
      <c r="E360">
        <v>100</v>
      </c>
      <c r="F360">
        <f t="shared" ca="1" si="53"/>
        <v>60</v>
      </c>
      <c r="G360" t="str">
        <f t="shared" ca="1" si="54"/>
        <v>Completed</v>
      </c>
      <c r="H360" t="str">
        <f t="shared" ca="1" si="55"/>
        <v>Yes</v>
      </c>
      <c r="I360" t="str">
        <f t="shared" ca="1" si="56"/>
        <v>Yes</v>
      </c>
      <c r="J360" t="str">
        <f t="shared" ca="1" si="57"/>
        <v>Low</v>
      </c>
      <c r="K360" t="str">
        <f t="shared" ca="1" si="58"/>
        <v>Pass</v>
      </c>
      <c r="L360" s="4" t="str" cm="1">
        <f t="array" aca="1" ref="L360" ca="1">_xlfn.IFS(D360&gt;=85,"A", D360&gt;=70,"B", D360&gt;=50,"C", D360&lt;50,"D")</f>
        <v>B</v>
      </c>
      <c r="M360" t="str">
        <f t="shared" ca="1" si="59"/>
        <v>Low</v>
      </c>
    </row>
    <row r="361" spans="1:13" x14ac:dyDescent="0.3">
      <c r="A361" t="s">
        <v>403</v>
      </c>
      <c r="B361" t="str">
        <f t="shared" ca="1" si="50"/>
        <v>10-A</v>
      </c>
      <c r="C361" t="str">
        <f t="shared" ca="1" si="51"/>
        <v>Math</v>
      </c>
      <c r="D361">
        <f t="shared" ca="1" si="52"/>
        <v>72.2</v>
      </c>
      <c r="E361">
        <v>100</v>
      </c>
      <c r="F361">
        <f t="shared" ca="1" si="53"/>
        <v>42</v>
      </c>
      <c r="G361" t="str">
        <f t="shared" ca="1" si="54"/>
        <v>None</v>
      </c>
      <c r="H361" t="str">
        <f t="shared" ca="1" si="55"/>
        <v>No</v>
      </c>
      <c r="I361" t="str">
        <f t="shared" ca="1" si="56"/>
        <v>Yes</v>
      </c>
      <c r="J361" t="str">
        <f t="shared" ca="1" si="57"/>
        <v>Low</v>
      </c>
      <c r="K361" t="str">
        <f t="shared" ca="1" si="58"/>
        <v>Pass</v>
      </c>
      <c r="L361" s="4" t="str" cm="1">
        <f t="array" aca="1" ref="L361" ca="1">_xlfn.IFS(D361&gt;=85,"A", D361&gt;=70,"B", D361&gt;=50,"C", D361&lt;50,"D")</f>
        <v>B</v>
      </c>
      <c r="M361" t="str">
        <f t="shared" ca="1" si="59"/>
        <v>Low</v>
      </c>
    </row>
    <row r="362" spans="1:13" x14ac:dyDescent="0.3">
      <c r="A362" t="s">
        <v>404</v>
      </c>
      <c r="B362" t="str">
        <f t="shared" ca="1" si="50"/>
        <v>10-A</v>
      </c>
      <c r="C362" t="str">
        <f t="shared" ca="1" si="51"/>
        <v>Math</v>
      </c>
      <c r="D362">
        <f t="shared" ca="1" si="52"/>
        <v>45.1</v>
      </c>
      <c r="E362">
        <v>100</v>
      </c>
      <c r="F362">
        <f t="shared" ca="1" si="53"/>
        <v>91</v>
      </c>
      <c r="G362" t="str">
        <f t="shared" ca="1" si="54"/>
        <v>None</v>
      </c>
      <c r="H362" t="str">
        <f t="shared" ca="1" si="55"/>
        <v>No</v>
      </c>
      <c r="I362" t="str">
        <f t="shared" ca="1" si="56"/>
        <v>Yes</v>
      </c>
      <c r="J362" t="str">
        <f t="shared" ca="1" si="57"/>
        <v>Medium</v>
      </c>
      <c r="K362" t="str">
        <f t="shared" ca="1" si="58"/>
        <v>Pass</v>
      </c>
      <c r="L362" s="4" t="str" cm="1">
        <f t="array" aca="1" ref="L362" ca="1">_xlfn.IFS(D362&gt;=85,"A", D362&gt;=70,"B", D362&gt;=50,"C", D362&lt;50,"D")</f>
        <v>D</v>
      </c>
      <c r="M362" t="str">
        <f t="shared" ca="1" si="59"/>
        <v>High</v>
      </c>
    </row>
    <row r="363" spans="1:13" x14ac:dyDescent="0.3">
      <c r="A363" t="s">
        <v>405</v>
      </c>
      <c r="B363" t="str">
        <f t="shared" ca="1" si="50"/>
        <v>10-C</v>
      </c>
      <c r="C363" t="str">
        <f t="shared" ca="1" si="51"/>
        <v>Science</v>
      </c>
      <c r="D363">
        <f t="shared" ca="1" si="52"/>
        <v>84.4</v>
      </c>
      <c r="E363">
        <v>100</v>
      </c>
      <c r="F363">
        <f t="shared" ca="1" si="53"/>
        <v>74</v>
      </c>
      <c r="G363" t="str">
        <f t="shared" ca="1" si="54"/>
        <v>Completed</v>
      </c>
      <c r="H363" t="str">
        <f t="shared" ca="1" si="55"/>
        <v>No</v>
      </c>
      <c r="I363" t="str">
        <f t="shared" ca="1" si="56"/>
        <v>Yes</v>
      </c>
      <c r="J363" t="str">
        <f t="shared" ca="1" si="57"/>
        <v>Low</v>
      </c>
      <c r="K363" t="str">
        <f t="shared" ca="1" si="58"/>
        <v>Pass</v>
      </c>
      <c r="L363" s="4" t="str" cm="1">
        <f t="array" aca="1" ref="L363" ca="1">_xlfn.IFS(D363&gt;=85,"A", D363&gt;=70,"B", D363&gt;=50,"C", D363&lt;50,"D")</f>
        <v>B</v>
      </c>
      <c r="M363" t="str">
        <f t="shared" ca="1" si="59"/>
        <v>Low</v>
      </c>
    </row>
    <row r="364" spans="1:13" x14ac:dyDescent="0.3">
      <c r="A364" t="s">
        <v>406</v>
      </c>
      <c r="B364" t="str">
        <f t="shared" ca="1" si="50"/>
        <v>10-B</v>
      </c>
      <c r="C364" t="str">
        <f t="shared" ca="1" si="51"/>
        <v>English</v>
      </c>
      <c r="D364">
        <f t="shared" ca="1" si="52"/>
        <v>80.3</v>
      </c>
      <c r="E364">
        <v>100</v>
      </c>
      <c r="F364">
        <f t="shared" ca="1" si="53"/>
        <v>53</v>
      </c>
      <c r="G364" t="str">
        <f t="shared" ca="1" si="54"/>
        <v>None</v>
      </c>
      <c r="H364" t="str">
        <f t="shared" ca="1" si="55"/>
        <v>Yes</v>
      </c>
      <c r="I364" t="str">
        <f t="shared" ca="1" si="56"/>
        <v>Yes</v>
      </c>
      <c r="J364" t="str">
        <f t="shared" ca="1" si="57"/>
        <v>Low</v>
      </c>
      <c r="K364" t="str">
        <f t="shared" ca="1" si="58"/>
        <v>Pass</v>
      </c>
      <c r="L364" s="4" t="str" cm="1">
        <f t="array" aca="1" ref="L364" ca="1">_xlfn.IFS(D364&gt;=85,"A", D364&gt;=70,"B", D364&gt;=50,"C", D364&lt;50,"D")</f>
        <v>B</v>
      </c>
      <c r="M364" t="str">
        <f t="shared" ca="1" si="59"/>
        <v>Low</v>
      </c>
    </row>
    <row r="365" spans="1:13" x14ac:dyDescent="0.3">
      <c r="A365" t="s">
        <v>407</v>
      </c>
      <c r="B365" t="str">
        <f t="shared" ca="1" si="50"/>
        <v>10-C</v>
      </c>
      <c r="C365" t="str">
        <f t="shared" ca="1" si="51"/>
        <v>Science</v>
      </c>
      <c r="D365">
        <f t="shared" ca="1" si="52"/>
        <v>76.3</v>
      </c>
      <c r="E365">
        <v>100</v>
      </c>
      <c r="F365">
        <f t="shared" ca="1" si="53"/>
        <v>73</v>
      </c>
      <c r="G365" t="str">
        <f t="shared" ca="1" si="54"/>
        <v>None</v>
      </c>
      <c r="H365" t="str">
        <f t="shared" ca="1" si="55"/>
        <v>Yes</v>
      </c>
      <c r="I365" t="str">
        <f t="shared" ca="1" si="56"/>
        <v>Yes</v>
      </c>
      <c r="J365" t="str">
        <f t="shared" ca="1" si="57"/>
        <v>Low</v>
      </c>
      <c r="K365" t="str">
        <f t="shared" ca="1" si="58"/>
        <v>Pass</v>
      </c>
      <c r="L365" s="4" t="str" cm="1">
        <f t="array" aca="1" ref="L365" ca="1">_xlfn.IFS(D365&gt;=85,"A", D365&gt;=70,"B", D365&gt;=50,"C", D365&lt;50,"D")</f>
        <v>B</v>
      </c>
      <c r="M365" t="str">
        <f t="shared" ca="1" si="59"/>
        <v>Low</v>
      </c>
    </row>
    <row r="366" spans="1:13" x14ac:dyDescent="0.3">
      <c r="A366" t="s">
        <v>408</v>
      </c>
      <c r="B366" t="str">
        <f t="shared" ca="1" si="50"/>
        <v>10-A</v>
      </c>
      <c r="C366" t="str">
        <f t="shared" ca="1" si="51"/>
        <v>English</v>
      </c>
      <c r="D366">
        <f t="shared" ca="1" si="52"/>
        <v>80.099999999999994</v>
      </c>
      <c r="E366">
        <v>100</v>
      </c>
      <c r="F366">
        <f t="shared" ca="1" si="53"/>
        <v>91</v>
      </c>
      <c r="G366" t="str">
        <f t="shared" ca="1" si="54"/>
        <v>None</v>
      </c>
      <c r="H366" t="str">
        <f t="shared" ca="1" si="55"/>
        <v>Yes</v>
      </c>
      <c r="I366" t="str">
        <f t="shared" ca="1" si="56"/>
        <v>Yes</v>
      </c>
      <c r="J366" t="str">
        <f t="shared" ca="1" si="57"/>
        <v>Low</v>
      </c>
      <c r="K366" t="str">
        <f t="shared" ca="1" si="58"/>
        <v>Pass</v>
      </c>
      <c r="L366" s="4" t="str" cm="1">
        <f t="array" aca="1" ref="L366" ca="1">_xlfn.IFS(D366&gt;=85,"A", D366&gt;=70,"B", D366&gt;=50,"C", D366&lt;50,"D")</f>
        <v>B</v>
      </c>
      <c r="M366" t="str">
        <f t="shared" ca="1" si="59"/>
        <v>High</v>
      </c>
    </row>
    <row r="367" spans="1:13" x14ac:dyDescent="0.3">
      <c r="A367" t="s">
        <v>409</v>
      </c>
      <c r="B367" t="str">
        <f t="shared" ca="1" si="50"/>
        <v>10-C</v>
      </c>
      <c r="C367" t="str">
        <f t="shared" ca="1" si="51"/>
        <v>English</v>
      </c>
      <c r="D367">
        <f t="shared" ca="1" si="52"/>
        <v>61.4</v>
      </c>
      <c r="E367">
        <v>100</v>
      </c>
      <c r="F367">
        <f t="shared" ca="1" si="53"/>
        <v>94</v>
      </c>
      <c r="G367" t="str">
        <f t="shared" ca="1" si="54"/>
        <v>None</v>
      </c>
      <c r="H367" t="str">
        <f t="shared" ca="1" si="55"/>
        <v>Yes</v>
      </c>
      <c r="I367" t="str">
        <f t="shared" ca="1" si="56"/>
        <v>Yes</v>
      </c>
      <c r="J367" t="str">
        <f t="shared" ca="1" si="57"/>
        <v>Low</v>
      </c>
      <c r="K367" t="str">
        <f t="shared" ca="1" si="58"/>
        <v>Pass</v>
      </c>
      <c r="L367" s="4" t="str" cm="1">
        <f t="array" aca="1" ref="L367" ca="1">_xlfn.IFS(D367&gt;=85,"A", D367&gt;=70,"B", D367&gt;=50,"C", D367&lt;50,"D")</f>
        <v>C</v>
      </c>
      <c r="M367" t="str">
        <f t="shared" ca="1" si="59"/>
        <v>High</v>
      </c>
    </row>
    <row r="368" spans="1:13" x14ac:dyDescent="0.3">
      <c r="A368" t="s">
        <v>410</v>
      </c>
      <c r="B368" t="str">
        <f t="shared" ca="1" si="50"/>
        <v>10-A</v>
      </c>
      <c r="C368" t="str">
        <f t="shared" ca="1" si="51"/>
        <v>Math</v>
      </c>
      <c r="D368">
        <f t="shared" ca="1" si="52"/>
        <v>60</v>
      </c>
      <c r="E368">
        <v>100</v>
      </c>
      <c r="F368">
        <f t="shared" ca="1" si="53"/>
        <v>50</v>
      </c>
      <c r="G368" t="str">
        <f t="shared" ca="1" si="54"/>
        <v>None</v>
      </c>
      <c r="H368" t="str">
        <f t="shared" ca="1" si="55"/>
        <v>Yes</v>
      </c>
      <c r="I368" t="str">
        <f t="shared" ca="1" si="56"/>
        <v>No</v>
      </c>
      <c r="J368" t="str">
        <f t="shared" ca="1" si="57"/>
        <v>High</v>
      </c>
      <c r="K368" t="str">
        <f t="shared" ca="1" si="58"/>
        <v>Pass</v>
      </c>
      <c r="L368" s="4" t="str" cm="1">
        <f t="array" aca="1" ref="L368" ca="1">_xlfn.IFS(D368&gt;=85,"A", D368&gt;=70,"B", D368&gt;=50,"C", D368&lt;50,"D")</f>
        <v>C</v>
      </c>
      <c r="M368" t="str">
        <f t="shared" ca="1" si="59"/>
        <v>Low</v>
      </c>
    </row>
    <row r="369" spans="1:13" x14ac:dyDescent="0.3">
      <c r="A369" t="s">
        <v>411</v>
      </c>
      <c r="B369" t="str">
        <f t="shared" ca="1" si="50"/>
        <v>10-B</v>
      </c>
      <c r="C369" t="str">
        <f t="shared" ca="1" si="51"/>
        <v>Math</v>
      </c>
      <c r="D369">
        <f t="shared" ca="1" si="52"/>
        <v>36.1</v>
      </c>
      <c r="E369">
        <v>100</v>
      </c>
      <c r="F369">
        <f t="shared" ca="1" si="53"/>
        <v>51</v>
      </c>
      <c r="G369" t="str">
        <f t="shared" ca="1" si="54"/>
        <v>None</v>
      </c>
      <c r="H369" t="str">
        <f t="shared" ca="1" si="55"/>
        <v>Yes</v>
      </c>
      <c r="I369" t="str">
        <f t="shared" ca="1" si="56"/>
        <v>No</v>
      </c>
      <c r="J369" t="str">
        <f t="shared" ca="1" si="57"/>
        <v>Critical</v>
      </c>
      <c r="K369" t="str">
        <f t="shared" ca="1" si="58"/>
        <v>Fail</v>
      </c>
      <c r="L369" s="4" t="str" cm="1">
        <f t="array" aca="1" ref="L369" ca="1">_xlfn.IFS(D369&gt;=85,"A", D369&gt;=70,"B", D369&gt;=50,"C", D369&lt;50,"D")</f>
        <v>D</v>
      </c>
      <c r="M369" t="str">
        <f t="shared" ca="1" si="59"/>
        <v>Low</v>
      </c>
    </row>
    <row r="370" spans="1:13" x14ac:dyDescent="0.3">
      <c r="A370" t="s">
        <v>412</v>
      </c>
      <c r="B370" t="str">
        <f t="shared" ca="1" si="50"/>
        <v>10-B</v>
      </c>
      <c r="C370" t="str">
        <f t="shared" ca="1" si="51"/>
        <v>Science</v>
      </c>
      <c r="D370">
        <f t="shared" ca="1" si="52"/>
        <v>71.8</v>
      </c>
      <c r="E370">
        <v>100</v>
      </c>
      <c r="F370">
        <f t="shared" ca="1" si="53"/>
        <v>68</v>
      </c>
      <c r="G370" t="str">
        <f t="shared" ca="1" si="54"/>
        <v>None</v>
      </c>
      <c r="H370" t="str">
        <f t="shared" ca="1" si="55"/>
        <v>Yes</v>
      </c>
      <c r="I370" t="str">
        <f t="shared" ca="1" si="56"/>
        <v>No</v>
      </c>
      <c r="J370" t="str">
        <f t="shared" ca="1" si="57"/>
        <v>High</v>
      </c>
      <c r="K370" t="str">
        <f t="shared" ca="1" si="58"/>
        <v>Pass</v>
      </c>
      <c r="L370" s="4" t="str" cm="1">
        <f t="array" aca="1" ref="L370" ca="1">_xlfn.IFS(D370&gt;=85,"A", D370&gt;=70,"B", D370&gt;=50,"C", D370&lt;50,"D")</f>
        <v>B</v>
      </c>
      <c r="M370" t="str">
        <f t="shared" ca="1" si="59"/>
        <v>Low</v>
      </c>
    </row>
    <row r="371" spans="1:13" x14ac:dyDescent="0.3">
      <c r="A371" t="s">
        <v>413</v>
      </c>
      <c r="B371" t="str">
        <f t="shared" ca="1" si="50"/>
        <v>10-C</v>
      </c>
      <c r="C371" t="str">
        <f t="shared" ca="1" si="51"/>
        <v>Math</v>
      </c>
      <c r="D371">
        <f t="shared" ca="1" si="52"/>
        <v>84</v>
      </c>
      <c r="E371">
        <v>100</v>
      </c>
      <c r="F371">
        <f t="shared" ca="1" si="53"/>
        <v>70</v>
      </c>
      <c r="G371" t="str">
        <f t="shared" ca="1" si="54"/>
        <v>None</v>
      </c>
      <c r="H371" t="str">
        <f t="shared" ca="1" si="55"/>
        <v>Yes</v>
      </c>
      <c r="I371" t="str">
        <f t="shared" ca="1" si="56"/>
        <v>No</v>
      </c>
      <c r="J371" t="str">
        <f t="shared" ca="1" si="57"/>
        <v>High</v>
      </c>
      <c r="K371" t="str">
        <f t="shared" ca="1" si="58"/>
        <v>Pass</v>
      </c>
      <c r="L371" s="4" t="str" cm="1">
        <f t="array" aca="1" ref="L371" ca="1">_xlfn.IFS(D371&gt;=85,"A", D371&gt;=70,"B", D371&gt;=50,"C", D371&lt;50,"D")</f>
        <v>B</v>
      </c>
      <c r="M371" t="str">
        <f t="shared" ca="1" si="59"/>
        <v>Low</v>
      </c>
    </row>
    <row r="372" spans="1:13" x14ac:dyDescent="0.3">
      <c r="A372" t="s">
        <v>414</v>
      </c>
      <c r="B372" t="str">
        <f t="shared" ca="1" si="50"/>
        <v>10-C</v>
      </c>
      <c r="C372" t="str">
        <f t="shared" ca="1" si="51"/>
        <v>Math</v>
      </c>
      <c r="D372">
        <f t="shared" ca="1" si="52"/>
        <v>83.9</v>
      </c>
      <c r="E372">
        <v>100</v>
      </c>
      <c r="F372">
        <f t="shared" ca="1" si="53"/>
        <v>69</v>
      </c>
      <c r="G372" t="str">
        <f t="shared" ca="1" si="54"/>
        <v>None</v>
      </c>
      <c r="H372" t="str">
        <f t="shared" ca="1" si="55"/>
        <v>Yes</v>
      </c>
      <c r="I372" t="str">
        <f t="shared" ca="1" si="56"/>
        <v>Yes</v>
      </c>
      <c r="J372" t="str">
        <f t="shared" ca="1" si="57"/>
        <v>Low</v>
      </c>
      <c r="K372" t="str">
        <f t="shared" ca="1" si="58"/>
        <v>Pass</v>
      </c>
      <c r="L372" s="4" t="str" cm="1">
        <f t="array" aca="1" ref="L372" ca="1">_xlfn.IFS(D372&gt;=85,"A", D372&gt;=70,"B", D372&gt;=50,"C", D372&lt;50,"D")</f>
        <v>B</v>
      </c>
      <c r="M372" t="str">
        <f t="shared" ca="1" si="59"/>
        <v>Low</v>
      </c>
    </row>
    <row r="373" spans="1:13" x14ac:dyDescent="0.3">
      <c r="A373" t="s">
        <v>415</v>
      </c>
      <c r="B373" t="str">
        <f t="shared" ca="1" si="50"/>
        <v>10-C</v>
      </c>
      <c r="C373" t="str">
        <f t="shared" ca="1" si="51"/>
        <v>Science</v>
      </c>
      <c r="D373">
        <f t="shared" ca="1" si="52"/>
        <v>40.200000000000003</v>
      </c>
      <c r="E373">
        <v>100</v>
      </c>
      <c r="F373">
        <f t="shared" ca="1" si="53"/>
        <v>62</v>
      </c>
      <c r="G373" t="str">
        <f t="shared" ca="1" si="54"/>
        <v>Completed</v>
      </c>
      <c r="H373" t="str">
        <f t="shared" ca="1" si="55"/>
        <v>Yes</v>
      </c>
      <c r="I373" t="str">
        <f t="shared" ca="1" si="56"/>
        <v>Yes</v>
      </c>
      <c r="J373" t="str">
        <f t="shared" ca="1" si="57"/>
        <v>Medium</v>
      </c>
      <c r="K373" t="str">
        <f t="shared" ca="1" si="58"/>
        <v>Pass</v>
      </c>
      <c r="L373" s="4" t="str" cm="1">
        <f t="array" aca="1" ref="L373" ca="1">_xlfn.IFS(D373&gt;=85,"A", D373&gt;=70,"B", D373&gt;=50,"C", D373&lt;50,"D")</f>
        <v>D</v>
      </c>
      <c r="M373" t="str">
        <f t="shared" ca="1" si="59"/>
        <v>Low</v>
      </c>
    </row>
    <row r="374" spans="1:13" x14ac:dyDescent="0.3">
      <c r="A374" t="s">
        <v>416</v>
      </c>
      <c r="B374" t="str">
        <f t="shared" ca="1" si="50"/>
        <v>10-B</v>
      </c>
      <c r="C374" t="str">
        <f t="shared" ca="1" si="51"/>
        <v>Math</v>
      </c>
      <c r="D374">
        <f t="shared" ca="1" si="52"/>
        <v>35.6</v>
      </c>
      <c r="E374">
        <v>100</v>
      </c>
      <c r="F374">
        <f t="shared" ca="1" si="53"/>
        <v>46</v>
      </c>
      <c r="G374" t="str">
        <f t="shared" ca="1" si="54"/>
        <v>Completed</v>
      </c>
      <c r="H374" t="str">
        <f t="shared" ca="1" si="55"/>
        <v>No</v>
      </c>
      <c r="I374" t="str">
        <f t="shared" ca="1" si="56"/>
        <v>Yes</v>
      </c>
      <c r="J374" t="str">
        <f t="shared" ca="1" si="57"/>
        <v>Medium</v>
      </c>
      <c r="K374" t="str">
        <f t="shared" ca="1" si="58"/>
        <v>Fail</v>
      </c>
      <c r="L374" s="4" t="str" cm="1">
        <f t="array" aca="1" ref="L374" ca="1">_xlfn.IFS(D374&gt;=85,"A", D374&gt;=70,"B", D374&gt;=50,"C", D374&lt;50,"D")</f>
        <v>D</v>
      </c>
      <c r="M374" t="str">
        <f t="shared" ca="1" si="59"/>
        <v>Low</v>
      </c>
    </row>
    <row r="375" spans="1:13" x14ac:dyDescent="0.3">
      <c r="A375" t="s">
        <v>417</v>
      </c>
      <c r="B375" t="str">
        <f t="shared" ca="1" si="50"/>
        <v>10-B</v>
      </c>
      <c r="C375" t="str">
        <f t="shared" ca="1" si="51"/>
        <v>Math</v>
      </c>
      <c r="D375">
        <f t="shared" ca="1" si="52"/>
        <v>74</v>
      </c>
      <c r="E375">
        <v>100</v>
      </c>
      <c r="F375">
        <f t="shared" ca="1" si="53"/>
        <v>50</v>
      </c>
      <c r="G375" t="str">
        <f t="shared" ca="1" si="54"/>
        <v>None</v>
      </c>
      <c r="H375" t="str">
        <f t="shared" ca="1" si="55"/>
        <v>Yes</v>
      </c>
      <c r="I375" t="str">
        <f t="shared" ca="1" si="56"/>
        <v>Yes</v>
      </c>
      <c r="J375" t="str">
        <f t="shared" ca="1" si="57"/>
        <v>Low</v>
      </c>
      <c r="K375" t="str">
        <f t="shared" ca="1" si="58"/>
        <v>Pass</v>
      </c>
      <c r="L375" s="4" t="str" cm="1">
        <f t="array" aca="1" ref="L375" ca="1">_xlfn.IFS(D375&gt;=85,"A", D375&gt;=70,"B", D375&gt;=50,"C", D375&lt;50,"D")</f>
        <v>B</v>
      </c>
      <c r="M375" t="str">
        <f t="shared" ca="1" si="59"/>
        <v>Low</v>
      </c>
    </row>
    <row r="376" spans="1:13" x14ac:dyDescent="0.3">
      <c r="A376" t="s">
        <v>418</v>
      </c>
      <c r="B376" t="str">
        <f t="shared" ca="1" si="50"/>
        <v>10-B</v>
      </c>
      <c r="C376" t="str">
        <f t="shared" ca="1" si="51"/>
        <v>Math</v>
      </c>
      <c r="D376">
        <f t="shared" ca="1" si="52"/>
        <v>54.2</v>
      </c>
      <c r="E376">
        <v>100</v>
      </c>
      <c r="F376">
        <f t="shared" ca="1" si="53"/>
        <v>62</v>
      </c>
      <c r="G376" t="str">
        <f t="shared" ca="1" si="54"/>
        <v>Completed</v>
      </c>
      <c r="H376" t="str">
        <f t="shared" ca="1" si="55"/>
        <v>Yes</v>
      </c>
      <c r="I376" t="str">
        <f t="shared" ca="1" si="56"/>
        <v>Yes</v>
      </c>
      <c r="J376" t="str">
        <f t="shared" ca="1" si="57"/>
        <v>Low</v>
      </c>
      <c r="K376" t="str">
        <f t="shared" ca="1" si="58"/>
        <v>Pass</v>
      </c>
      <c r="L376" s="4" t="str" cm="1">
        <f t="array" aca="1" ref="L376" ca="1">_xlfn.IFS(D376&gt;=85,"A", D376&gt;=70,"B", D376&gt;=50,"C", D376&lt;50,"D")</f>
        <v>C</v>
      </c>
      <c r="M376" t="str">
        <f t="shared" ca="1" si="59"/>
        <v>Low</v>
      </c>
    </row>
    <row r="377" spans="1:13" x14ac:dyDescent="0.3">
      <c r="A377" t="s">
        <v>419</v>
      </c>
      <c r="B377" t="str">
        <f t="shared" ca="1" si="50"/>
        <v>10-C</v>
      </c>
      <c r="C377" t="str">
        <f t="shared" ca="1" si="51"/>
        <v>English</v>
      </c>
      <c r="D377">
        <f t="shared" ca="1" si="52"/>
        <v>82</v>
      </c>
      <c r="E377">
        <v>100</v>
      </c>
      <c r="F377">
        <f t="shared" ca="1" si="53"/>
        <v>100</v>
      </c>
      <c r="G377" t="str">
        <f t="shared" ca="1" si="54"/>
        <v>Completed</v>
      </c>
      <c r="H377" t="str">
        <f t="shared" ca="1" si="55"/>
        <v>Yes</v>
      </c>
      <c r="I377" t="str">
        <f t="shared" ca="1" si="56"/>
        <v>Yes</v>
      </c>
      <c r="J377" t="str">
        <f t="shared" ca="1" si="57"/>
        <v>Low</v>
      </c>
      <c r="K377" t="str">
        <f t="shared" ca="1" si="58"/>
        <v>Pass</v>
      </c>
      <c r="L377" s="4" t="str" cm="1">
        <f t="array" aca="1" ref="L377" ca="1">_xlfn.IFS(D377&gt;=85,"A", D377&gt;=70,"B", D377&gt;=50,"C", D377&lt;50,"D")</f>
        <v>B</v>
      </c>
      <c r="M377" t="str">
        <f t="shared" ca="1" si="59"/>
        <v>High</v>
      </c>
    </row>
    <row r="378" spans="1:13" x14ac:dyDescent="0.3">
      <c r="A378" t="s">
        <v>420</v>
      </c>
      <c r="B378" t="str">
        <f t="shared" ca="1" si="50"/>
        <v>10-A</v>
      </c>
      <c r="C378" t="str">
        <f t="shared" ca="1" si="51"/>
        <v>Science</v>
      </c>
      <c r="D378">
        <f t="shared" ca="1" si="52"/>
        <v>54.3</v>
      </c>
      <c r="E378">
        <v>100</v>
      </c>
      <c r="F378">
        <f t="shared" ca="1" si="53"/>
        <v>43</v>
      </c>
      <c r="G378" t="str">
        <f t="shared" ca="1" si="54"/>
        <v>Completed</v>
      </c>
      <c r="H378" t="str">
        <f t="shared" ca="1" si="55"/>
        <v>Yes</v>
      </c>
      <c r="I378" t="str">
        <f t="shared" ca="1" si="56"/>
        <v>Yes</v>
      </c>
      <c r="J378" t="str">
        <f t="shared" ca="1" si="57"/>
        <v>Low</v>
      </c>
      <c r="K378" t="str">
        <f t="shared" ca="1" si="58"/>
        <v>Pass</v>
      </c>
      <c r="L378" s="4" t="str" cm="1">
        <f t="array" aca="1" ref="L378" ca="1">_xlfn.IFS(D378&gt;=85,"A", D378&gt;=70,"B", D378&gt;=50,"C", D378&lt;50,"D")</f>
        <v>C</v>
      </c>
      <c r="M378" t="str">
        <f t="shared" ca="1" si="59"/>
        <v>Low</v>
      </c>
    </row>
    <row r="379" spans="1:13" x14ac:dyDescent="0.3">
      <c r="A379" t="s">
        <v>421</v>
      </c>
      <c r="B379" t="str">
        <f t="shared" ca="1" si="50"/>
        <v>10-A</v>
      </c>
      <c r="C379" t="str">
        <f t="shared" ca="1" si="51"/>
        <v>Science</v>
      </c>
      <c r="D379">
        <f t="shared" ca="1" si="52"/>
        <v>43.6</v>
      </c>
      <c r="E379">
        <v>100</v>
      </c>
      <c r="F379">
        <f t="shared" ca="1" si="53"/>
        <v>76</v>
      </c>
      <c r="G379" t="str">
        <f t="shared" ca="1" si="54"/>
        <v>None</v>
      </c>
      <c r="H379" t="str">
        <f t="shared" ca="1" si="55"/>
        <v>Yes</v>
      </c>
      <c r="I379" t="str">
        <f t="shared" ca="1" si="56"/>
        <v>Yes</v>
      </c>
      <c r="J379" t="str">
        <f t="shared" ca="1" si="57"/>
        <v>Medium</v>
      </c>
      <c r="K379" t="str">
        <f t="shared" ca="1" si="58"/>
        <v>Pass</v>
      </c>
      <c r="L379" s="4" t="str" cm="1">
        <f t="array" aca="1" ref="L379" ca="1">_xlfn.IFS(D379&gt;=85,"A", D379&gt;=70,"B", D379&gt;=50,"C", D379&lt;50,"D")</f>
        <v>D</v>
      </c>
      <c r="M379" t="str">
        <f t="shared" ca="1" si="59"/>
        <v>Medium</v>
      </c>
    </row>
    <row r="380" spans="1:13" x14ac:dyDescent="0.3">
      <c r="A380" t="s">
        <v>422</v>
      </c>
      <c r="B380" t="str">
        <f t="shared" ca="1" si="50"/>
        <v>10-B</v>
      </c>
      <c r="C380" t="str">
        <f t="shared" ca="1" si="51"/>
        <v>Science</v>
      </c>
      <c r="D380">
        <f t="shared" ca="1" si="52"/>
        <v>90</v>
      </c>
      <c r="E380">
        <v>100</v>
      </c>
      <c r="F380">
        <f t="shared" ca="1" si="53"/>
        <v>100</v>
      </c>
      <c r="G380" t="str">
        <f t="shared" ca="1" si="54"/>
        <v>Completed</v>
      </c>
      <c r="H380" t="str">
        <f t="shared" ca="1" si="55"/>
        <v>No</v>
      </c>
      <c r="I380" t="str">
        <f t="shared" ca="1" si="56"/>
        <v>Yes</v>
      </c>
      <c r="J380" t="str">
        <f t="shared" ca="1" si="57"/>
        <v>Low</v>
      </c>
      <c r="K380" t="str">
        <f t="shared" ca="1" si="58"/>
        <v>Pass</v>
      </c>
      <c r="L380" s="4" t="str" cm="1">
        <f t="array" aca="1" ref="L380" ca="1">_xlfn.IFS(D380&gt;=85,"A", D380&gt;=70,"B", D380&gt;=50,"C", D380&lt;50,"D")</f>
        <v>A</v>
      </c>
      <c r="M380" t="str">
        <f t="shared" ca="1" si="59"/>
        <v>High</v>
      </c>
    </row>
    <row r="381" spans="1:13" x14ac:dyDescent="0.3">
      <c r="A381" t="s">
        <v>423</v>
      </c>
      <c r="B381" t="str">
        <f t="shared" ca="1" si="50"/>
        <v>10-C</v>
      </c>
      <c r="C381" t="str">
        <f t="shared" ca="1" si="51"/>
        <v>English</v>
      </c>
      <c r="D381">
        <f t="shared" ca="1" si="52"/>
        <v>74.3</v>
      </c>
      <c r="E381">
        <v>100</v>
      </c>
      <c r="F381">
        <f t="shared" ca="1" si="53"/>
        <v>83</v>
      </c>
      <c r="G381" t="str">
        <f t="shared" ca="1" si="54"/>
        <v>None</v>
      </c>
      <c r="H381" t="str">
        <f t="shared" ca="1" si="55"/>
        <v>Yes</v>
      </c>
      <c r="I381" t="str">
        <f t="shared" ca="1" si="56"/>
        <v>No</v>
      </c>
      <c r="J381" t="str">
        <f t="shared" ca="1" si="57"/>
        <v>High</v>
      </c>
      <c r="K381" t="str">
        <f t="shared" ca="1" si="58"/>
        <v>Pass</v>
      </c>
      <c r="L381" s="4" t="str" cm="1">
        <f t="array" aca="1" ref="L381" ca="1">_xlfn.IFS(D381&gt;=85,"A", D381&gt;=70,"B", D381&gt;=50,"C", D381&lt;50,"D")</f>
        <v>B</v>
      </c>
      <c r="M381" t="str">
        <f t="shared" ca="1" si="59"/>
        <v>Medium</v>
      </c>
    </row>
    <row r="382" spans="1:13" x14ac:dyDescent="0.3">
      <c r="A382" t="s">
        <v>424</v>
      </c>
      <c r="B382" t="str">
        <f t="shared" ca="1" si="50"/>
        <v>10-B</v>
      </c>
      <c r="C382" t="str">
        <f t="shared" ca="1" si="51"/>
        <v>English</v>
      </c>
      <c r="D382">
        <f t="shared" ca="1" si="52"/>
        <v>67.400000000000006</v>
      </c>
      <c r="E382">
        <v>100</v>
      </c>
      <c r="F382">
        <f t="shared" ca="1" si="53"/>
        <v>84</v>
      </c>
      <c r="G382" t="str">
        <f t="shared" ca="1" si="54"/>
        <v>None</v>
      </c>
      <c r="H382" t="str">
        <f t="shared" ca="1" si="55"/>
        <v>No</v>
      </c>
      <c r="I382" t="str">
        <f t="shared" ca="1" si="56"/>
        <v>Yes</v>
      </c>
      <c r="J382" t="str">
        <f t="shared" ca="1" si="57"/>
        <v>Low</v>
      </c>
      <c r="K382" t="str">
        <f t="shared" ca="1" si="58"/>
        <v>Pass</v>
      </c>
      <c r="L382" s="4" t="str" cm="1">
        <f t="array" aca="1" ref="L382" ca="1">_xlfn.IFS(D382&gt;=85,"A", D382&gt;=70,"B", D382&gt;=50,"C", D382&lt;50,"D")</f>
        <v>C</v>
      </c>
      <c r="M382" t="str">
        <f t="shared" ca="1" si="59"/>
        <v>Medium</v>
      </c>
    </row>
    <row r="383" spans="1:13" x14ac:dyDescent="0.3">
      <c r="A383" t="s">
        <v>425</v>
      </c>
      <c r="B383" t="str">
        <f t="shared" ca="1" si="50"/>
        <v>10-B</v>
      </c>
      <c r="C383" t="str">
        <f t="shared" ca="1" si="51"/>
        <v>Math</v>
      </c>
      <c r="D383">
        <f t="shared" ca="1" si="52"/>
        <v>41.4</v>
      </c>
      <c r="E383">
        <v>100</v>
      </c>
      <c r="F383">
        <f t="shared" ca="1" si="53"/>
        <v>54</v>
      </c>
      <c r="G383" t="str">
        <f t="shared" ca="1" si="54"/>
        <v>None</v>
      </c>
      <c r="H383" t="str">
        <f t="shared" ca="1" si="55"/>
        <v>No</v>
      </c>
      <c r="I383" t="str">
        <f t="shared" ca="1" si="56"/>
        <v>Yes</v>
      </c>
      <c r="J383" t="str">
        <f t="shared" ca="1" si="57"/>
        <v>Medium</v>
      </c>
      <c r="K383" t="str">
        <f t="shared" ca="1" si="58"/>
        <v>Pass</v>
      </c>
      <c r="L383" s="4" t="str" cm="1">
        <f t="array" aca="1" ref="L383" ca="1">_xlfn.IFS(D383&gt;=85,"A", D383&gt;=70,"B", D383&gt;=50,"C", D383&lt;50,"D")</f>
        <v>D</v>
      </c>
      <c r="M383" t="str">
        <f t="shared" ca="1" si="59"/>
        <v>Low</v>
      </c>
    </row>
    <row r="384" spans="1:13" x14ac:dyDescent="0.3">
      <c r="A384" t="s">
        <v>426</v>
      </c>
      <c r="B384" t="str">
        <f t="shared" ca="1" si="50"/>
        <v>10-A</v>
      </c>
      <c r="C384" t="str">
        <f t="shared" ca="1" si="51"/>
        <v>Science</v>
      </c>
      <c r="D384">
        <f t="shared" ca="1" si="52"/>
        <v>72.3</v>
      </c>
      <c r="E384">
        <v>100</v>
      </c>
      <c r="F384">
        <f t="shared" ca="1" si="53"/>
        <v>83</v>
      </c>
      <c r="G384" t="str">
        <f t="shared" ca="1" si="54"/>
        <v>None</v>
      </c>
      <c r="H384" t="str">
        <f t="shared" ca="1" si="55"/>
        <v>Yes</v>
      </c>
      <c r="I384" t="str">
        <f t="shared" ca="1" si="56"/>
        <v>Yes</v>
      </c>
      <c r="J384" t="str">
        <f t="shared" ca="1" si="57"/>
        <v>Low</v>
      </c>
      <c r="K384" t="str">
        <f t="shared" ca="1" si="58"/>
        <v>Pass</v>
      </c>
      <c r="L384" s="4" t="str" cm="1">
        <f t="array" aca="1" ref="L384" ca="1">_xlfn.IFS(D384&gt;=85,"A", D384&gt;=70,"B", D384&gt;=50,"C", D384&lt;50,"D")</f>
        <v>B</v>
      </c>
      <c r="M384" t="str">
        <f t="shared" ca="1" si="59"/>
        <v>Medium</v>
      </c>
    </row>
    <row r="385" spans="1:13" x14ac:dyDescent="0.3">
      <c r="A385" t="s">
        <v>427</v>
      </c>
      <c r="B385" t="str">
        <f t="shared" ca="1" si="50"/>
        <v>10-A</v>
      </c>
      <c r="C385" t="str">
        <f t="shared" ca="1" si="51"/>
        <v>Science</v>
      </c>
      <c r="D385">
        <f t="shared" ca="1" si="52"/>
        <v>84.7</v>
      </c>
      <c r="E385">
        <v>100</v>
      </c>
      <c r="F385">
        <f t="shared" ca="1" si="53"/>
        <v>67</v>
      </c>
      <c r="G385" t="str">
        <f t="shared" ca="1" si="54"/>
        <v>Completed</v>
      </c>
      <c r="H385" t="str">
        <f t="shared" ca="1" si="55"/>
        <v>Yes</v>
      </c>
      <c r="I385" t="str">
        <f t="shared" ca="1" si="56"/>
        <v>No</v>
      </c>
      <c r="J385" t="str">
        <f t="shared" ca="1" si="57"/>
        <v>High</v>
      </c>
      <c r="K385" t="str">
        <f t="shared" ca="1" si="58"/>
        <v>Pass</v>
      </c>
      <c r="L385" s="4" t="str" cm="1">
        <f t="array" aca="1" ref="L385" ca="1">_xlfn.IFS(D385&gt;=85,"A", D385&gt;=70,"B", D385&gt;=50,"C", D385&lt;50,"D")</f>
        <v>B</v>
      </c>
      <c r="M385" t="str">
        <f t="shared" ca="1" si="59"/>
        <v>Low</v>
      </c>
    </row>
    <row r="386" spans="1:13" x14ac:dyDescent="0.3">
      <c r="A386" t="s">
        <v>428</v>
      </c>
      <c r="B386" t="str">
        <f t="shared" ca="1" si="50"/>
        <v>10-A</v>
      </c>
      <c r="C386" t="str">
        <f t="shared" ca="1" si="51"/>
        <v>Science</v>
      </c>
      <c r="D386">
        <f t="shared" ca="1" si="52"/>
        <v>80.400000000000006</v>
      </c>
      <c r="E386">
        <v>100</v>
      </c>
      <c r="F386">
        <f t="shared" ca="1" si="53"/>
        <v>44</v>
      </c>
      <c r="G386" t="str">
        <f t="shared" ca="1" si="54"/>
        <v>None</v>
      </c>
      <c r="H386" t="str">
        <f t="shared" ca="1" si="55"/>
        <v>Yes</v>
      </c>
      <c r="I386" t="str">
        <f t="shared" ca="1" si="56"/>
        <v>Yes</v>
      </c>
      <c r="J386" t="str">
        <f t="shared" ca="1" si="57"/>
        <v>Low</v>
      </c>
      <c r="K386" t="str">
        <f t="shared" ca="1" si="58"/>
        <v>Pass</v>
      </c>
      <c r="L386" s="4" t="str" cm="1">
        <f t="array" aca="1" ref="L386" ca="1">_xlfn.IFS(D386&gt;=85,"A", D386&gt;=70,"B", D386&gt;=50,"C", D386&lt;50,"D")</f>
        <v>B</v>
      </c>
      <c r="M386" t="str">
        <f t="shared" ca="1" si="59"/>
        <v>Low</v>
      </c>
    </row>
    <row r="387" spans="1:13" x14ac:dyDescent="0.3">
      <c r="A387" t="s">
        <v>429</v>
      </c>
      <c r="B387" t="str">
        <f t="shared" ref="B387:B450" ca="1" si="60">CHOOSE(RANDBETWEEN(1,3), "10-A", "10-B", "10-C")</f>
        <v>10-A</v>
      </c>
      <c r="C387" t="str">
        <f t="shared" ref="C387:C450" ca="1" si="61">CHOOSE(RANDBETWEEN(1,3), "Math", "Science", "English")</f>
        <v>English</v>
      </c>
      <c r="D387">
        <f t="shared" ref="D387:D450" ca="1" si="62">MIN(100, RANDBETWEEN(30, 80) + (F387/10))</f>
        <v>72.099999999999994</v>
      </c>
      <c r="E387">
        <v>100</v>
      </c>
      <c r="F387">
        <f t="shared" ref="F387:F450" ca="1" si="63">RANDBETWEEN(40, 100)</f>
        <v>81</v>
      </c>
      <c r="G387" t="str">
        <f t="shared" ref="G387:G450" ca="1" si="64">IF(RANDBETWEEN(0,1)=1, "Completed", "None")</f>
        <v>Completed</v>
      </c>
      <c r="H387" t="str">
        <f t="shared" ref="H387:H450" ca="1" si="65">IF(RANDBETWEEN(1,10)&gt;3, "Yes", "No")</f>
        <v>Yes</v>
      </c>
      <c r="I387" t="str">
        <f t="shared" ref="I387:I450" ca="1" si="66">IF(RANDBETWEEN(1,10)&gt;3, "Yes", "No")</f>
        <v>Yes</v>
      </c>
      <c r="J387" t="str">
        <f t="shared" ref="J387:J450" ca="1" si="67">IF(TRIM(I387)="No", IF(VALUE(D387)&lt;50, "Critical", "High"), IF(VALUE(D387)&lt;50, "Medium", "Low"))</f>
        <v>Low</v>
      </c>
      <c r="K387" t="str">
        <f t="shared" ref="K387:K450" ca="1" si="68">IF(D387&gt;=40, "Pass", "Fail")</f>
        <v>Pass</v>
      </c>
      <c r="L387" s="4" t="str" cm="1">
        <f t="array" aca="1" ref="L387" ca="1">_xlfn.IFS(D387&gt;=85,"A", D387&gt;=70,"B", D387&gt;=50,"C", D387&lt;50,"D")</f>
        <v>B</v>
      </c>
      <c r="M387" t="str">
        <f t="shared" ref="M387:M450" ca="1" si="69">IF(F387&gt;=85, "High", IF(F387&gt;=75, "Medium", "Low"))</f>
        <v>Medium</v>
      </c>
    </row>
    <row r="388" spans="1:13" x14ac:dyDescent="0.3">
      <c r="A388" t="s">
        <v>430</v>
      </c>
      <c r="B388" t="str">
        <f t="shared" ca="1" si="60"/>
        <v>10-B</v>
      </c>
      <c r="C388" t="str">
        <f t="shared" ca="1" si="61"/>
        <v>English</v>
      </c>
      <c r="D388">
        <f t="shared" ca="1" si="62"/>
        <v>49.8</v>
      </c>
      <c r="E388">
        <v>100</v>
      </c>
      <c r="F388">
        <f t="shared" ca="1" si="63"/>
        <v>58</v>
      </c>
      <c r="G388" t="str">
        <f t="shared" ca="1" si="64"/>
        <v>None</v>
      </c>
      <c r="H388" t="str">
        <f t="shared" ca="1" si="65"/>
        <v>Yes</v>
      </c>
      <c r="I388" t="str">
        <f t="shared" ca="1" si="66"/>
        <v>Yes</v>
      </c>
      <c r="J388" t="str">
        <f t="shared" ca="1" si="67"/>
        <v>Medium</v>
      </c>
      <c r="K388" t="str">
        <f t="shared" ca="1" si="68"/>
        <v>Pass</v>
      </c>
      <c r="L388" s="4" t="str" cm="1">
        <f t="array" aca="1" ref="L388" ca="1">_xlfn.IFS(D388&gt;=85,"A", D388&gt;=70,"B", D388&gt;=50,"C", D388&lt;50,"D")</f>
        <v>D</v>
      </c>
      <c r="M388" t="str">
        <f t="shared" ca="1" si="69"/>
        <v>Low</v>
      </c>
    </row>
    <row r="389" spans="1:13" x14ac:dyDescent="0.3">
      <c r="A389" t="s">
        <v>431</v>
      </c>
      <c r="B389" t="str">
        <f t="shared" ca="1" si="60"/>
        <v>10-A</v>
      </c>
      <c r="C389" t="str">
        <f t="shared" ca="1" si="61"/>
        <v>English</v>
      </c>
      <c r="D389">
        <f t="shared" ca="1" si="62"/>
        <v>67.8</v>
      </c>
      <c r="E389">
        <v>100</v>
      </c>
      <c r="F389">
        <f t="shared" ca="1" si="63"/>
        <v>68</v>
      </c>
      <c r="G389" t="str">
        <f t="shared" ca="1" si="64"/>
        <v>None</v>
      </c>
      <c r="H389" t="str">
        <f t="shared" ca="1" si="65"/>
        <v>Yes</v>
      </c>
      <c r="I389" t="str">
        <f t="shared" ca="1" si="66"/>
        <v>Yes</v>
      </c>
      <c r="J389" t="str">
        <f t="shared" ca="1" si="67"/>
        <v>Low</v>
      </c>
      <c r="K389" t="str">
        <f t="shared" ca="1" si="68"/>
        <v>Pass</v>
      </c>
      <c r="L389" s="4" t="str" cm="1">
        <f t="array" aca="1" ref="L389" ca="1">_xlfn.IFS(D389&gt;=85,"A", D389&gt;=70,"B", D389&gt;=50,"C", D389&lt;50,"D")</f>
        <v>C</v>
      </c>
      <c r="M389" t="str">
        <f t="shared" ca="1" si="69"/>
        <v>Low</v>
      </c>
    </row>
    <row r="390" spans="1:13" x14ac:dyDescent="0.3">
      <c r="A390" t="s">
        <v>432</v>
      </c>
      <c r="B390" t="str">
        <f t="shared" ca="1" si="60"/>
        <v>10-C</v>
      </c>
      <c r="C390" t="str">
        <f t="shared" ca="1" si="61"/>
        <v>Math</v>
      </c>
      <c r="D390">
        <f t="shared" ca="1" si="62"/>
        <v>69.599999999999994</v>
      </c>
      <c r="E390">
        <v>100</v>
      </c>
      <c r="F390">
        <f t="shared" ca="1" si="63"/>
        <v>66</v>
      </c>
      <c r="G390" t="str">
        <f t="shared" ca="1" si="64"/>
        <v>Completed</v>
      </c>
      <c r="H390" t="str">
        <f t="shared" ca="1" si="65"/>
        <v>Yes</v>
      </c>
      <c r="I390" t="str">
        <f t="shared" ca="1" si="66"/>
        <v>No</v>
      </c>
      <c r="J390" t="str">
        <f t="shared" ca="1" si="67"/>
        <v>High</v>
      </c>
      <c r="K390" t="str">
        <f t="shared" ca="1" si="68"/>
        <v>Pass</v>
      </c>
      <c r="L390" s="4" t="str" cm="1">
        <f t="array" aca="1" ref="L390" ca="1">_xlfn.IFS(D390&gt;=85,"A", D390&gt;=70,"B", D390&gt;=50,"C", D390&lt;50,"D")</f>
        <v>C</v>
      </c>
      <c r="M390" t="str">
        <f t="shared" ca="1" si="69"/>
        <v>Low</v>
      </c>
    </row>
    <row r="391" spans="1:13" x14ac:dyDescent="0.3">
      <c r="A391" t="s">
        <v>433</v>
      </c>
      <c r="B391" t="str">
        <f t="shared" ca="1" si="60"/>
        <v>10-A</v>
      </c>
      <c r="C391" t="str">
        <f t="shared" ca="1" si="61"/>
        <v>Science</v>
      </c>
      <c r="D391">
        <f t="shared" ca="1" si="62"/>
        <v>62.6</v>
      </c>
      <c r="E391">
        <v>100</v>
      </c>
      <c r="F391">
        <f t="shared" ca="1" si="63"/>
        <v>76</v>
      </c>
      <c r="G391" t="str">
        <f t="shared" ca="1" si="64"/>
        <v>None</v>
      </c>
      <c r="H391" t="str">
        <f t="shared" ca="1" si="65"/>
        <v>Yes</v>
      </c>
      <c r="I391" t="str">
        <f t="shared" ca="1" si="66"/>
        <v>Yes</v>
      </c>
      <c r="J391" t="str">
        <f t="shared" ca="1" si="67"/>
        <v>Low</v>
      </c>
      <c r="K391" t="str">
        <f t="shared" ca="1" si="68"/>
        <v>Pass</v>
      </c>
      <c r="L391" s="4" t="str" cm="1">
        <f t="array" aca="1" ref="L391" ca="1">_xlfn.IFS(D391&gt;=85,"A", D391&gt;=70,"B", D391&gt;=50,"C", D391&lt;50,"D")</f>
        <v>C</v>
      </c>
      <c r="M391" t="str">
        <f t="shared" ca="1" si="69"/>
        <v>Medium</v>
      </c>
    </row>
    <row r="392" spans="1:13" x14ac:dyDescent="0.3">
      <c r="A392" t="s">
        <v>434</v>
      </c>
      <c r="B392" t="str">
        <f t="shared" ca="1" si="60"/>
        <v>10-B</v>
      </c>
      <c r="C392" t="str">
        <f t="shared" ca="1" si="61"/>
        <v>English</v>
      </c>
      <c r="D392">
        <f t="shared" ca="1" si="62"/>
        <v>62.8</v>
      </c>
      <c r="E392">
        <v>100</v>
      </c>
      <c r="F392">
        <f t="shared" ca="1" si="63"/>
        <v>78</v>
      </c>
      <c r="G392" t="str">
        <f t="shared" ca="1" si="64"/>
        <v>None</v>
      </c>
      <c r="H392" t="str">
        <f t="shared" ca="1" si="65"/>
        <v>No</v>
      </c>
      <c r="I392" t="str">
        <f t="shared" ca="1" si="66"/>
        <v>Yes</v>
      </c>
      <c r="J392" t="str">
        <f t="shared" ca="1" si="67"/>
        <v>Low</v>
      </c>
      <c r="K392" t="str">
        <f t="shared" ca="1" si="68"/>
        <v>Pass</v>
      </c>
      <c r="L392" s="4" t="str" cm="1">
        <f t="array" aca="1" ref="L392" ca="1">_xlfn.IFS(D392&gt;=85,"A", D392&gt;=70,"B", D392&gt;=50,"C", D392&lt;50,"D")</f>
        <v>C</v>
      </c>
      <c r="M392" t="str">
        <f t="shared" ca="1" si="69"/>
        <v>Medium</v>
      </c>
    </row>
    <row r="393" spans="1:13" x14ac:dyDescent="0.3">
      <c r="A393" t="s">
        <v>435</v>
      </c>
      <c r="B393" t="str">
        <f t="shared" ca="1" si="60"/>
        <v>10-A</v>
      </c>
      <c r="C393" t="str">
        <f t="shared" ca="1" si="61"/>
        <v>English</v>
      </c>
      <c r="D393">
        <f t="shared" ca="1" si="62"/>
        <v>77.7</v>
      </c>
      <c r="E393">
        <v>100</v>
      </c>
      <c r="F393">
        <f t="shared" ca="1" si="63"/>
        <v>47</v>
      </c>
      <c r="G393" t="str">
        <f t="shared" ca="1" si="64"/>
        <v>None</v>
      </c>
      <c r="H393" t="str">
        <f t="shared" ca="1" si="65"/>
        <v>No</v>
      </c>
      <c r="I393" t="str">
        <f t="shared" ca="1" si="66"/>
        <v>No</v>
      </c>
      <c r="J393" t="str">
        <f t="shared" ca="1" si="67"/>
        <v>High</v>
      </c>
      <c r="K393" t="str">
        <f t="shared" ca="1" si="68"/>
        <v>Pass</v>
      </c>
      <c r="L393" s="4" t="str" cm="1">
        <f t="array" aca="1" ref="L393" ca="1">_xlfn.IFS(D393&gt;=85,"A", D393&gt;=70,"B", D393&gt;=50,"C", D393&lt;50,"D")</f>
        <v>B</v>
      </c>
      <c r="M393" t="str">
        <f t="shared" ca="1" si="69"/>
        <v>Low</v>
      </c>
    </row>
    <row r="394" spans="1:13" x14ac:dyDescent="0.3">
      <c r="A394" t="s">
        <v>436</v>
      </c>
      <c r="B394" t="str">
        <f t="shared" ca="1" si="60"/>
        <v>10-A</v>
      </c>
      <c r="C394" t="str">
        <f t="shared" ca="1" si="61"/>
        <v>Science</v>
      </c>
      <c r="D394">
        <f t="shared" ca="1" si="62"/>
        <v>82.7</v>
      </c>
      <c r="E394">
        <v>100</v>
      </c>
      <c r="F394">
        <f t="shared" ca="1" si="63"/>
        <v>77</v>
      </c>
      <c r="G394" t="str">
        <f t="shared" ca="1" si="64"/>
        <v>None</v>
      </c>
      <c r="H394" t="str">
        <f t="shared" ca="1" si="65"/>
        <v>Yes</v>
      </c>
      <c r="I394" t="str">
        <f t="shared" ca="1" si="66"/>
        <v>Yes</v>
      </c>
      <c r="J394" t="str">
        <f t="shared" ca="1" si="67"/>
        <v>Low</v>
      </c>
      <c r="K394" t="str">
        <f t="shared" ca="1" si="68"/>
        <v>Pass</v>
      </c>
      <c r="L394" s="4" t="str" cm="1">
        <f t="array" aca="1" ref="L394" ca="1">_xlfn.IFS(D394&gt;=85,"A", D394&gt;=70,"B", D394&gt;=50,"C", D394&lt;50,"D")</f>
        <v>B</v>
      </c>
      <c r="M394" t="str">
        <f t="shared" ca="1" si="69"/>
        <v>Medium</v>
      </c>
    </row>
    <row r="395" spans="1:13" x14ac:dyDescent="0.3">
      <c r="A395" t="s">
        <v>437</v>
      </c>
      <c r="B395" t="str">
        <f t="shared" ca="1" si="60"/>
        <v>10-A</v>
      </c>
      <c r="C395" t="str">
        <f t="shared" ca="1" si="61"/>
        <v>English</v>
      </c>
      <c r="D395">
        <f t="shared" ca="1" si="62"/>
        <v>78.5</v>
      </c>
      <c r="E395">
        <v>100</v>
      </c>
      <c r="F395">
        <f t="shared" ca="1" si="63"/>
        <v>85</v>
      </c>
      <c r="G395" t="str">
        <f t="shared" ca="1" si="64"/>
        <v>None</v>
      </c>
      <c r="H395" t="str">
        <f t="shared" ca="1" si="65"/>
        <v>No</v>
      </c>
      <c r="I395" t="str">
        <f t="shared" ca="1" si="66"/>
        <v>Yes</v>
      </c>
      <c r="J395" t="str">
        <f t="shared" ca="1" si="67"/>
        <v>Low</v>
      </c>
      <c r="K395" t="str">
        <f t="shared" ca="1" si="68"/>
        <v>Pass</v>
      </c>
      <c r="L395" s="4" t="str" cm="1">
        <f t="array" aca="1" ref="L395" ca="1">_xlfn.IFS(D395&gt;=85,"A", D395&gt;=70,"B", D395&gt;=50,"C", D395&lt;50,"D")</f>
        <v>B</v>
      </c>
      <c r="M395" t="str">
        <f t="shared" ca="1" si="69"/>
        <v>High</v>
      </c>
    </row>
    <row r="396" spans="1:13" x14ac:dyDescent="0.3">
      <c r="A396" t="s">
        <v>438</v>
      </c>
      <c r="B396" t="str">
        <f t="shared" ca="1" si="60"/>
        <v>10-C</v>
      </c>
      <c r="C396" t="str">
        <f t="shared" ca="1" si="61"/>
        <v>Math</v>
      </c>
      <c r="D396">
        <f t="shared" ca="1" si="62"/>
        <v>56.4</v>
      </c>
      <c r="E396">
        <v>100</v>
      </c>
      <c r="F396">
        <f t="shared" ca="1" si="63"/>
        <v>44</v>
      </c>
      <c r="G396" t="str">
        <f t="shared" ca="1" si="64"/>
        <v>Completed</v>
      </c>
      <c r="H396" t="str">
        <f t="shared" ca="1" si="65"/>
        <v>Yes</v>
      </c>
      <c r="I396" t="str">
        <f t="shared" ca="1" si="66"/>
        <v>No</v>
      </c>
      <c r="J396" t="str">
        <f t="shared" ca="1" si="67"/>
        <v>High</v>
      </c>
      <c r="K396" t="str">
        <f t="shared" ca="1" si="68"/>
        <v>Pass</v>
      </c>
      <c r="L396" s="4" t="str" cm="1">
        <f t="array" aca="1" ref="L396" ca="1">_xlfn.IFS(D396&gt;=85,"A", D396&gt;=70,"B", D396&gt;=50,"C", D396&lt;50,"D")</f>
        <v>C</v>
      </c>
      <c r="M396" t="str">
        <f t="shared" ca="1" si="69"/>
        <v>Low</v>
      </c>
    </row>
    <row r="397" spans="1:13" x14ac:dyDescent="0.3">
      <c r="A397" t="s">
        <v>439</v>
      </c>
      <c r="B397" t="str">
        <f t="shared" ca="1" si="60"/>
        <v>10-A</v>
      </c>
      <c r="C397" t="str">
        <f t="shared" ca="1" si="61"/>
        <v>Math</v>
      </c>
      <c r="D397">
        <f t="shared" ca="1" si="62"/>
        <v>59.1</v>
      </c>
      <c r="E397">
        <v>100</v>
      </c>
      <c r="F397">
        <f t="shared" ca="1" si="63"/>
        <v>91</v>
      </c>
      <c r="G397" t="str">
        <f t="shared" ca="1" si="64"/>
        <v>None</v>
      </c>
      <c r="H397" t="str">
        <f t="shared" ca="1" si="65"/>
        <v>Yes</v>
      </c>
      <c r="I397" t="str">
        <f t="shared" ca="1" si="66"/>
        <v>Yes</v>
      </c>
      <c r="J397" t="str">
        <f t="shared" ca="1" si="67"/>
        <v>Low</v>
      </c>
      <c r="K397" t="str">
        <f t="shared" ca="1" si="68"/>
        <v>Pass</v>
      </c>
      <c r="L397" s="4" t="str" cm="1">
        <f t="array" aca="1" ref="L397" ca="1">_xlfn.IFS(D397&gt;=85,"A", D397&gt;=70,"B", D397&gt;=50,"C", D397&lt;50,"D")</f>
        <v>C</v>
      </c>
      <c r="M397" t="str">
        <f t="shared" ca="1" si="69"/>
        <v>High</v>
      </c>
    </row>
    <row r="398" spans="1:13" x14ac:dyDescent="0.3">
      <c r="A398" t="s">
        <v>440</v>
      </c>
      <c r="B398" t="str">
        <f t="shared" ca="1" si="60"/>
        <v>10-A</v>
      </c>
      <c r="C398" t="str">
        <f t="shared" ca="1" si="61"/>
        <v>English</v>
      </c>
      <c r="D398">
        <f t="shared" ca="1" si="62"/>
        <v>65.2</v>
      </c>
      <c r="E398">
        <v>100</v>
      </c>
      <c r="F398">
        <f t="shared" ca="1" si="63"/>
        <v>72</v>
      </c>
      <c r="G398" t="str">
        <f t="shared" ca="1" si="64"/>
        <v>None</v>
      </c>
      <c r="H398" t="str">
        <f t="shared" ca="1" si="65"/>
        <v>Yes</v>
      </c>
      <c r="I398" t="str">
        <f t="shared" ca="1" si="66"/>
        <v>Yes</v>
      </c>
      <c r="J398" t="str">
        <f t="shared" ca="1" si="67"/>
        <v>Low</v>
      </c>
      <c r="K398" t="str">
        <f t="shared" ca="1" si="68"/>
        <v>Pass</v>
      </c>
      <c r="L398" s="4" t="str" cm="1">
        <f t="array" aca="1" ref="L398" ca="1">_xlfn.IFS(D398&gt;=85,"A", D398&gt;=70,"B", D398&gt;=50,"C", D398&lt;50,"D")</f>
        <v>C</v>
      </c>
      <c r="M398" t="str">
        <f t="shared" ca="1" si="69"/>
        <v>Low</v>
      </c>
    </row>
    <row r="399" spans="1:13" x14ac:dyDescent="0.3">
      <c r="A399" t="s">
        <v>441</v>
      </c>
      <c r="B399" t="str">
        <f t="shared" ca="1" si="60"/>
        <v>10-B</v>
      </c>
      <c r="C399" t="str">
        <f t="shared" ca="1" si="61"/>
        <v>Science</v>
      </c>
      <c r="D399">
        <f t="shared" ca="1" si="62"/>
        <v>41.5</v>
      </c>
      <c r="E399">
        <v>100</v>
      </c>
      <c r="F399">
        <f t="shared" ca="1" si="63"/>
        <v>95</v>
      </c>
      <c r="G399" t="str">
        <f t="shared" ca="1" si="64"/>
        <v>None</v>
      </c>
      <c r="H399" t="str">
        <f t="shared" ca="1" si="65"/>
        <v>Yes</v>
      </c>
      <c r="I399" t="str">
        <f t="shared" ca="1" si="66"/>
        <v>Yes</v>
      </c>
      <c r="J399" t="str">
        <f t="shared" ca="1" si="67"/>
        <v>Medium</v>
      </c>
      <c r="K399" t="str">
        <f t="shared" ca="1" si="68"/>
        <v>Pass</v>
      </c>
      <c r="L399" s="4" t="str" cm="1">
        <f t="array" aca="1" ref="L399" ca="1">_xlfn.IFS(D399&gt;=85,"A", D399&gt;=70,"B", D399&gt;=50,"C", D399&lt;50,"D")</f>
        <v>D</v>
      </c>
      <c r="M399" t="str">
        <f t="shared" ca="1" si="69"/>
        <v>High</v>
      </c>
    </row>
    <row r="400" spans="1:13" x14ac:dyDescent="0.3">
      <c r="A400" t="s">
        <v>442</v>
      </c>
      <c r="B400" t="str">
        <f t="shared" ca="1" si="60"/>
        <v>10-B</v>
      </c>
      <c r="C400" t="str">
        <f t="shared" ca="1" si="61"/>
        <v>English</v>
      </c>
      <c r="D400">
        <f t="shared" ca="1" si="62"/>
        <v>85.8</v>
      </c>
      <c r="E400">
        <v>100</v>
      </c>
      <c r="F400">
        <f t="shared" ca="1" si="63"/>
        <v>68</v>
      </c>
      <c r="G400" t="str">
        <f t="shared" ca="1" si="64"/>
        <v>Completed</v>
      </c>
      <c r="H400" t="str">
        <f t="shared" ca="1" si="65"/>
        <v>Yes</v>
      </c>
      <c r="I400" t="str">
        <f t="shared" ca="1" si="66"/>
        <v>Yes</v>
      </c>
      <c r="J400" t="str">
        <f t="shared" ca="1" si="67"/>
        <v>Low</v>
      </c>
      <c r="K400" t="str">
        <f t="shared" ca="1" si="68"/>
        <v>Pass</v>
      </c>
      <c r="L400" s="4" t="str" cm="1">
        <f t="array" aca="1" ref="L400" ca="1">_xlfn.IFS(D400&gt;=85,"A", D400&gt;=70,"B", D400&gt;=50,"C", D400&lt;50,"D")</f>
        <v>A</v>
      </c>
      <c r="M400" t="str">
        <f t="shared" ca="1" si="69"/>
        <v>Low</v>
      </c>
    </row>
    <row r="401" spans="1:13" x14ac:dyDescent="0.3">
      <c r="A401" t="s">
        <v>443</v>
      </c>
      <c r="B401" t="str">
        <f t="shared" ca="1" si="60"/>
        <v>10-C</v>
      </c>
      <c r="C401" t="str">
        <f t="shared" ca="1" si="61"/>
        <v>English</v>
      </c>
      <c r="D401">
        <f t="shared" ca="1" si="62"/>
        <v>45.7</v>
      </c>
      <c r="E401">
        <v>100</v>
      </c>
      <c r="F401">
        <f t="shared" ca="1" si="63"/>
        <v>87</v>
      </c>
      <c r="G401" t="str">
        <f t="shared" ca="1" si="64"/>
        <v>Completed</v>
      </c>
      <c r="H401" t="str">
        <f t="shared" ca="1" si="65"/>
        <v>Yes</v>
      </c>
      <c r="I401" t="str">
        <f t="shared" ca="1" si="66"/>
        <v>Yes</v>
      </c>
      <c r="J401" t="str">
        <f t="shared" ca="1" si="67"/>
        <v>Medium</v>
      </c>
      <c r="K401" t="str">
        <f t="shared" ca="1" si="68"/>
        <v>Pass</v>
      </c>
      <c r="L401" s="4" t="str" cm="1">
        <f t="array" aca="1" ref="L401" ca="1">_xlfn.IFS(D401&gt;=85,"A", D401&gt;=70,"B", D401&gt;=50,"C", D401&lt;50,"D")</f>
        <v>D</v>
      </c>
      <c r="M401" t="str">
        <f t="shared" ca="1" si="69"/>
        <v>High</v>
      </c>
    </row>
    <row r="402" spans="1:13" x14ac:dyDescent="0.3">
      <c r="A402" t="s">
        <v>444</v>
      </c>
      <c r="B402" t="str">
        <f t="shared" ca="1" si="60"/>
        <v>10-C</v>
      </c>
      <c r="C402" t="str">
        <f t="shared" ca="1" si="61"/>
        <v>Math</v>
      </c>
      <c r="D402">
        <f t="shared" ca="1" si="62"/>
        <v>38.4</v>
      </c>
      <c r="E402">
        <v>100</v>
      </c>
      <c r="F402">
        <f t="shared" ca="1" si="63"/>
        <v>54</v>
      </c>
      <c r="G402" t="str">
        <f t="shared" ca="1" si="64"/>
        <v>Completed</v>
      </c>
      <c r="H402" t="str">
        <f t="shared" ca="1" si="65"/>
        <v>Yes</v>
      </c>
      <c r="I402" t="str">
        <f t="shared" ca="1" si="66"/>
        <v>Yes</v>
      </c>
      <c r="J402" t="str">
        <f t="shared" ca="1" si="67"/>
        <v>Medium</v>
      </c>
      <c r="K402" t="str">
        <f t="shared" ca="1" si="68"/>
        <v>Fail</v>
      </c>
      <c r="L402" s="4" t="str" cm="1">
        <f t="array" aca="1" ref="L402" ca="1">_xlfn.IFS(D402&gt;=85,"A", D402&gt;=70,"B", D402&gt;=50,"C", D402&lt;50,"D")</f>
        <v>D</v>
      </c>
      <c r="M402" t="str">
        <f t="shared" ca="1" si="69"/>
        <v>Low</v>
      </c>
    </row>
    <row r="403" spans="1:13" x14ac:dyDescent="0.3">
      <c r="A403" t="s">
        <v>445</v>
      </c>
      <c r="B403" t="str">
        <f t="shared" ca="1" si="60"/>
        <v>10-B</v>
      </c>
      <c r="C403" t="str">
        <f t="shared" ca="1" si="61"/>
        <v>English</v>
      </c>
      <c r="D403">
        <f t="shared" ca="1" si="62"/>
        <v>87.7</v>
      </c>
      <c r="E403">
        <v>100</v>
      </c>
      <c r="F403">
        <f t="shared" ca="1" si="63"/>
        <v>87</v>
      </c>
      <c r="G403" t="str">
        <f t="shared" ca="1" si="64"/>
        <v>Completed</v>
      </c>
      <c r="H403" t="str">
        <f t="shared" ca="1" si="65"/>
        <v>No</v>
      </c>
      <c r="I403" t="str">
        <f t="shared" ca="1" si="66"/>
        <v>Yes</v>
      </c>
      <c r="J403" t="str">
        <f t="shared" ca="1" si="67"/>
        <v>Low</v>
      </c>
      <c r="K403" t="str">
        <f t="shared" ca="1" si="68"/>
        <v>Pass</v>
      </c>
      <c r="L403" s="4" t="str" cm="1">
        <f t="array" aca="1" ref="L403" ca="1">_xlfn.IFS(D403&gt;=85,"A", D403&gt;=70,"B", D403&gt;=50,"C", D403&lt;50,"D")</f>
        <v>A</v>
      </c>
      <c r="M403" t="str">
        <f t="shared" ca="1" si="69"/>
        <v>High</v>
      </c>
    </row>
    <row r="404" spans="1:13" x14ac:dyDescent="0.3">
      <c r="A404" t="s">
        <v>446</v>
      </c>
      <c r="B404" t="str">
        <f t="shared" ca="1" si="60"/>
        <v>10-B</v>
      </c>
      <c r="C404" t="str">
        <f t="shared" ca="1" si="61"/>
        <v>English</v>
      </c>
      <c r="D404">
        <f t="shared" ca="1" si="62"/>
        <v>84.3</v>
      </c>
      <c r="E404">
        <v>100</v>
      </c>
      <c r="F404">
        <f t="shared" ca="1" si="63"/>
        <v>53</v>
      </c>
      <c r="G404" t="str">
        <f t="shared" ca="1" si="64"/>
        <v>Completed</v>
      </c>
      <c r="H404" t="str">
        <f t="shared" ca="1" si="65"/>
        <v>Yes</v>
      </c>
      <c r="I404" t="str">
        <f t="shared" ca="1" si="66"/>
        <v>Yes</v>
      </c>
      <c r="J404" t="str">
        <f t="shared" ca="1" si="67"/>
        <v>Low</v>
      </c>
      <c r="K404" t="str">
        <f t="shared" ca="1" si="68"/>
        <v>Pass</v>
      </c>
      <c r="L404" s="4" t="str" cm="1">
        <f t="array" aca="1" ref="L404" ca="1">_xlfn.IFS(D404&gt;=85,"A", D404&gt;=70,"B", D404&gt;=50,"C", D404&lt;50,"D")</f>
        <v>B</v>
      </c>
      <c r="M404" t="str">
        <f t="shared" ca="1" si="69"/>
        <v>Low</v>
      </c>
    </row>
    <row r="405" spans="1:13" x14ac:dyDescent="0.3">
      <c r="A405" t="s">
        <v>447</v>
      </c>
      <c r="B405" t="str">
        <f t="shared" ca="1" si="60"/>
        <v>10-A</v>
      </c>
      <c r="C405" t="str">
        <f t="shared" ca="1" si="61"/>
        <v>English</v>
      </c>
      <c r="D405">
        <f t="shared" ca="1" si="62"/>
        <v>88.2</v>
      </c>
      <c r="E405">
        <v>100</v>
      </c>
      <c r="F405">
        <f t="shared" ca="1" si="63"/>
        <v>92</v>
      </c>
      <c r="G405" t="str">
        <f t="shared" ca="1" si="64"/>
        <v>None</v>
      </c>
      <c r="H405" t="str">
        <f t="shared" ca="1" si="65"/>
        <v>Yes</v>
      </c>
      <c r="I405" t="str">
        <f t="shared" ca="1" si="66"/>
        <v>No</v>
      </c>
      <c r="J405" t="str">
        <f t="shared" ca="1" si="67"/>
        <v>High</v>
      </c>
      <c r="K405" t="str">
        <f t="shared" ca="1" si="68"/>
        <v>Pass</v>
      </c>
      <c r="L405" s="4" t="str" cm="1">
        <f t="array" aca="1" ref="L405" ca="1">_xlfn.IFS(D405&gt;=85,"A", D405&gt;=70,"B", D405&gt;=50,"C", D405&lt;50,"D")</f>
        <v>A</v>
      </c>
      <c r="M405" t="str">
        <f t="shared" ca="1" si="69"/>
        <v>High</v>
      </c>
    </row>
    <row r="406" spans="1:13" x14ac:dyDescent="0.3">
      <c r="A406" t="s">
        <v>448</v>
      </c>
      <c r="B406" t="str">
        <f t="shared" ca="1" si="60"/>
        <v>10-A</v>
      </c>
      <c r="C406" t="str">
        <f t="shared" ca="1" si="61"/>
        <v>Science</v>
      </c>
      <c r="D406">
        <f t="shared" ca="1" si="62"/>
        <v>42.7</v>
      </c>
      <c r="E406">
        <v>100</v>
      </c>
      <c r="F406">
        <f t="shared" ca="1" si="63"/>
        <v>97</v>
      </c>
      <c r="G406" t="str">
        <f t="shared" ca="1" si="64"/>
        <v>Completed</v>
      </c>
      <c r="H406" t="str">
        <f t="shared" ca="1" si="65"/>
        <v>Yes</v>
      </c>
      <c r="I406" t="str">
        <f t="shared" ca="1" si="66"/>
        <v>Yes</v>
      </c>
      <c r="J406" t="str">
        <f t="shared" ca="1" si="67"/>
        <v>Medium</v>
      </c>
      <c r="K406" t="str">
        <f t="shared" ca="1" si="68"/>
        <v>Pass</v>
      </c>
      <c r="L406" s="4" t="str" cm="1">
        <f t="array" aca="1" ref="L406" ca="1">_xlfn.IFS(D406&gt;=85,"A", D406&gt;=70,"B", D406&gt;=50,"C", D406&lt;50,"D")</f>
        <v>D</v>
      </c>
      <c r="M406" t="str">
        <f t="shared" ca="1" si="69"/>
        <v>High</v>
      </c>
    </row>
    <row r="407" spans="1:13" x14ac:dyDescent="0.3">
      <c r="A407" t="s">
        <v>449</v>
      </c>
      <c r="B407" t="str">
        <f t="shared" ca="1" si="60"/>
        <v>10-A</v>
      </c>
      <c r="C407" t="str">
        <f t="shared" ca="1" si="61"/>
        <v>Math</v>
      </c>
      <c r="D407">
        <f t="shared" ca="1" si="62"/>
        <v>46</v>
      </c>
      <c r="E407">
        <v>100</v>
      </c>
      <c r="F407">
        <f t="shared" ca="1" si="63"/>
        <v>80</v>
      </c>
      <c r="G407" t="str">
        <f t="shared" ca="1" si="64"/>
        <v>Completed</v>
      </c>
      <c r="H407" t="str">
        <f t="shared" ca="1" si="65"/>
        <v>Yes</v>
      </c>
      <c r="I407" t="str">
        <f t="shared" ca="1" si="66"/>
        <v>No</v>
      </c>
      <c r="J407" t="str">
        <f t="shared" ca="1" si="67"/>
        <v>Critical</v>
      </c>
      <c r="K407" t="str">
        <f t="shared" ca="1" si="68"/>
        <v>Pass</v>
      </c>
      <c r="L407" s="4" t="str" cm="1">
        <f t="array" aca="1" ref="L407" ca="1">_xlfn.IFS(D407&gt;=85,"A", D407&gt;=70,"B", D407&gt;=50,"C", D407&lt;50,"D")</f>
        <v>D</v>
      </c>
      <c r="M407" t="str">
        <f t="shared" ca="1" si="69"/>
        <v>Medium</v>
      </c>
    </row>
    <row r="408" spans="1:13" x14ac:dyDescent="0.3">
      <c r="A408" t="s">
        <v>450</v>
      </c>
      <c r="B408" t="str">
        <f t="shared" ca="1" si="60"/>
        <v>10-C</v>
      </c>
      <c r="C408" t="str">
        <f t="shared" ca="1" si="61"/>
        <v>Science</v>
      </c>
      <c r="D408">
        <f t="shared" ca="1" si="62"/>
        <v>44.1</v>
      </c>
      <c r="E408">
        <v>100</v>
      </c>
      <c r="F408">
        <f t="shared" ca="1" si="63"/>
        <v>41</v>
      </c>
      <c r="G408" t="str">
        <f t="shared" ca="1" si="64"/>
        <v>None</v>
      </c>
      <c r="H408" t="str">
        <f t="shared" ca="1" si="65"/>
        <v>Yes</v>
      </c>
      <c r="I408" t="str">
        <f t="shared" ca="1" si="66"/>
        <v>Yes</v>
      </c>
      <c r="J408" t="str">
        <f t="shared" ca="1" si="67"/>
        <v>Medium</v>
      </c>
      <c r="K408" t="str">
        <f t="shared" ca="1" si="68"/>
        <v>Pass</v>
      </c>
      <c r="L408" s="4" t="str" cm="1">
        <f t="array" aca="1" ref="L408" ca="1">_xlfn.IFS(D408&gt;=85,"A", D408&gt;=70,"B", D408&gt;=50,"C", D408&lt;50,"D")</f>
        <v>D</v>
      </c>
      <c r="M408" t="str">
        <f t="shared" ca="1" si="69"/>
        <v>Low</v>
      </c>
    </row>
    <row r="409" spans="1:13" x14ac:dyDescent="0.3">
      <c r="A409" t="s">
        <v>451</v>
      </c>
      <c r="B409" t="str">
        <f t="shared" ca="1" si="60"/>
        <v>10-A</v>
      </c>
      <c r="C409" t="str">
        <f t="shared" ca="1" si="61"/>
        <v>English</v>
      </c>
      <c r="D409">
        <f t="shared" ca="1" si="62"/>
        <v>56.3</v>
      </c>
      <c r="E409">
        <v>100</v>
      </c>
      <c r="F409">
        <f t="shared" ca="1" si="63"/>
        <v>53</v>
      </c>
      <c r="G409" t="str">
        <f t="shared" ca="1" si="64"/>
        <v>Completed</v>
      </c>
      <c r="H409" t="str">
        <f t="shared" ca="1" si="65"/>
        <v>Yes</v>
      </c>
      <c r="I409" t="str">
        <f t="shared" ca="1" si="66"/>
        <v>No</v>
      </c>
      <c r="J409" t="str">
        <f t="shared" ca="1" si="67"/>
        <v>High</v>
      </c>
      <c r="K409" t="str">
        <f t="shared" ca="1" si="68"/>
        <v>Pass</v>
      </c>
      <c r="L409" s="4" t="str" cm="1">
        <f t="array" aca="1" ref="L409" ca="1">_xlfn.IFS(D409&gt;=85,"A", D409&gt;=70,"B", D409&gt;=50,"C", D409&lt;50,"D")</f>
        <v>C</v>
      </c>
      <c r="M409" t="str">
        <f t="shared" ca="1" si="69"/>
        <v>Low</v>
      </c>
    </row>
    <row r="410" spans="1:13" x14ac:dyDescent="0.3">
      <c r="A410" t="s">
        <v>452</v>
      </c>
      <c r="B410" t="str">
        <f t="shared" ca="1" si="60"/>
        <v>10-C</v>
      </c>
      <c r="C410" t="str">
        <f t="shared" ca="1" si="61"/>
        <v>English</v>
      </c>
      <c r="D410">
        <f t="shared" ca="1" si="62"/>
        <v>49.4</v>
      </c>
      <c r="E410">
        <v>100</v>
      </c>
      <c r="F410">
        <f t="shared" ca="1" si="63"/>
        <v>74</v>
      </c>
      <c r="G410" t="str">
        <f t="shared" ca="1" si="64"/>
        <v>None</v>
      </c>
      <c r="H410" t="str">
        <f t="shared" ca="1" si="65"/>
        <v>No</v>
      </c>
      <c r="I410" t="str">
        <f t="shared" ca="1" si="66"/>
        <v>No</v>
      </c>
      <c r="J410" t="str">
        <f t="shared" ca="1" si="67"/>
        <v>Critical</v>
      </c>
      <c r="K410" t="str">
        <f t="shared" ca="1" si="68"/>
        <v>Pass</v>
      </c>
      <c r="L410" s="4" t="str" cm="1">
        <f t="array" aca="1" ref="L410" ca="1">_xlfn.IFS(D410&gt;=85,"A", D410&gt;=70,"B", D410&gt;=50,"C", D410&lt;50,"D")</f>
        <v>D</v>
      </c>
      <c r="M410" t="str">
        <f t="shared" ca="1" si="69"/>
        <v>Low</v>
      </c>
    </row>
    <row r="411" spans="1:13" x14ac:dyDescent="0.3">
      <c r="A411" t="s">
        <v>453</v>
      </c>
      <c r="B411" t="str">
        <f t="shared" ca="1" si="60"/>
        <v>10-A</v>
      </c>
      <c r="C411" t="str">
        <f t="shared" ca="1" si="61"/>
        <v>Math</v>
      </c>
      <c r="D411">
        <f t="shared" ca="1" si="62"/>
        <v>59.5</v>
      </c>
      <c r="E411">
        <v>100</v>
      </c>
      <c r="F411">
        <f t="shared" ca="1" si="63"/>
        <v>65</v>
      </c>
      <c r="G411" t="str">
        <f t="shared" ca="1" si="64"/>
        <v>Completed</v>
      </c>
      <c r="H411" t="str">
        <f t="shared" ca="1" si="65"/>
        <v>Yes</v>
      </c>
      <c r="I411" t="str">
        <f t="shared" ca="1" si="66"/>
        <v>No</v>
      </c>
      <c r="J411" t="str">
        <f t="shared" ca="1" si="67"/>
        <v>High</v>
      </c>
      <c r="K411" t="str">
        <f t="shared" ca="1" si="68"/>
        <v>Pass</v>
      </c>
      <c r="L411" s="4" t="str" cm="1">
        <f t="array" aca="1" ref="L411" ca="1">_xlfn.IFS(D411&gt;=85,"A", D411&gt;=70,"B", D411&gt;=50,"C", D411&lt;50,"D")</f>
        <v>C</v>
      </c>
      <c r="M411" t="str">
        <f t="shared" ca="1" si="69"/>
        <v>Low</v>
      </c>
    </row>
    <row r="412" spans="1:13" x14ac:dyDescent="0.3">
      <c r="A412" t="s">
        <v>454</v>
      </c>
      <c r="B412" t="str">
        <f t="shared" ca="1" si="60"/>
        <v>10-B</v>
      </c>
      <c r="C412" t="str">
        <f t="shared" ca="1" si="61"/>
        <v>English</v>
      </c>
      <c r="D412">
        <f t="shared" ca="1" si="62"/>
        <v>76.599999999999994</v>
      </c>
      <c r="E412">
        <v>100</v>
      </c>
      <c r="F412">
        <f t="shared" ca="1" si="63"/>
        <v>96</v>
      </c>
      <c r="G412" t="str">
        <f t="shared" ca="1" si="64"/>
        <v>Completed</v>
      </c>
      <c r="H412" t="str">
        <f t="shared" ca="1" si="65"/>
        <v>No</v>
      </c>
      <c r="I412" t="str">
        <f t="shared" ca="1" si="66"/>
        <v>No</v>
      </c>
      <c r="J412" t="str">
        <f t="shared" ca="1" si="67"/>
        <v>High</v>
      </c>
      <c r="K412" t="str">
        <f t="shared" ca="1" si="68"/>
        <v>Pass</v>
      </c>
      <c r="L412" s="4" t="str" cm="1">
        <f t="array" aca="1" ref="L412" ca="1">_xlfn.IFS(D412&gt;=85,"A", D412&gt;=70,"B", D412&gt;=50,"C", D412&lt;50,"D")</f>
        <v>B</v>
      </c>
      <c r="M412" t="str">
        <f t="shared" ca="1" si="69"/>
        <v>High</v>
      </c>
    </row>
    <row r="413" spans="1:13" x14ac:dyDescent="0.3">
      <c r="A413" t="s">
        <v>455</v>
      </c>
      <c r="B413" t="str">
        <f t="shared" ca="1" si="60"/>
        <v>10-A</v>
      </c>
      <c r="C413" t="str">
        <f t="shared" ca="1" si="61"/>
        <v>Math</v>
      </c>
      <c r="D413">
        <f t="shared" ca="1" si="62"/>
        <v>67.5</v>
      </c>
      <c r="E413">
        <v>100</v>
      </c>
      <c r="F413">
        <f t="shared" ca="1" si="63"/>
        <v>75</v>
      </c>
      <c r="G413" t="str">
        <f t="shared" ca="1" si="64"/>
        <v>Completed</v>
      </c>
      <c r="H413" t="str">
        <f t="shared" ca="1" si="65"/>
        <v>No</v>
      </c>
      <c r="I413" t="str">
        <f t="shared" ca="1" si="66"/>
        <v>Yes</v>
      </c>
      <c r="J413" t="str">
        <f t="shared" ca="1" si="67"/>
        <v>Low</v>
      </c>
      <c r="K413" t="str">
        <f t="shared" ca="1" si="68"/>
        <v>Pass</v>
      </c>
      <c r="L413" s="4" t="str" cm="1">
        <f t="array" aca="1" ref="L413" ca="1">_xlfn.IFS(D413&gt;=85,"A", D413&gt;=70,"B", D413&gt;=50,"C", D413&lt;50,"D")</f>
        <v>C</v>
      </c>
      <c r="M413" t="str">
        <f t="shared" ca="1" si="69"/>
        <v>Medium</v>
      </c>
    </row>
    <row r="414" spans="1:13" x14ac:dyDescent="0.3">
      <c r="A414" t="s">
        <v>456</v>
      </c>
      <c r="B414" t="str">
        <f t="shared" ca="1" si="60"/>
        <v>10-B</v>
      </c>
      <c r="C414" t="str">
        <f t="shared" ca="1" si="61"/>
        <v>English</v>
      </c>
      <c r="D414">
        <f t="shared" ca="1" si="62"/>
        <v>44.7</v>
      </c>
      <c r="E414">
        <v>100</v>
      </c>
      <c r="F414">
        <f t="shared" ca="1" si="63"/>
        <v>87</v>
      </c>
      <c r="G414" t="str">
        <f t="shared" ca="1" si="64"/>
        <v>Completed</v>
      </c>
      <c r="H414" t="str">
        <f t="shared" ca="1" si="65"/>
        <v>Yes</v>
      </c>
      <c r="I414" t="str">
        <f t="shared" ca="1" si="66"/>
        <v>No</v>
      </c>
      <c r="J414" t="str">
        <f t="shared" ca="1" si="67"/>
        <v>Critical</v>
      </c>
      <c r="K414" t="str">
        <f t="shared" ca="1" si="68"/>
        <v>Pass</v>
      </c>
      <c r="L414" s="4" t="str" cm="1">
        <f t="array" aca="1" ref="L414" ca="1">_xlfn.IFS(D414&gt;=85,"A", D414&gt;=70,"B", D414&gt;=50,"C", D414&lt;50,"D")</f>
        <v>D</v>
      </c>
      <c r="M414" t="str">
        <f t="shared" ca="1" si="69"/>
        <v>High</v>
      </c>
    </row>
    <row r="415" spans="1:13" x14ac:dyDescent="0.3">
      <c r="A415" t="s">
        <v>457</v>
      </c>
      <c r="B415" t="str">
        <f t="shared" ca="1" si="60"/>
        <v>10-C</v>
      </c>
      <c r="C415" t="str">
        <f t="shared" ca="1" si="61"/>
        <v>Math</v>
      </c>
      <c r="D415">
        <f t="shared" ca="1" si="62"/>
        <v>72.2</v>
      </c>
      <c r="E415">
        <v>100</v>
      </c>
      <c r="F415">
        <f t="shared" ca="1" si="63"/>
        <v>42</v>
      </c>
      <c r="G415" t="str">
        <f t="shared" ca="1" si="64"/>
        <v>None</v>
      </c>
      <c r="H415" t="str">
        <f t="shared" ca="1" si="65"/>
        <v>Yes</v>
      </c>
      <c r="I415" t="str">
        <f t="shared" ca="1" si="66"/>
        <v>Yes</v>
      </c>
      <c r="J415" t="str">
        <f t="shared" ca="1" si="67"/>
        <v>Low</v>
      </c>
      <c r="K415" t="str">
        <f t="shared" ca="1" si="68"/>
        <v>Pass</v>
      </c>
      <c r="L415" s="4" t="str" cm="1">
        <f t="array" aca="1" ref="L415" ca="1">_xlfn.IFS(D415&gt;=85,"A", D415&gt;=70,"B", D415&gt;=50,"C", D415&lt;50,"D")</f>
        <v>B</v>
      </c>
      <c r="M415" t="str">
        <f t="shared" ca="1" si="69"/>
        <v>Low</v>
      </c>
    </row>
    <row r="416" spans="1:13" x14ac:dyDescent="0.3">
      <c r="A416" t="s">
        <v>458</v>
      </c>
      <c r="B416" t="str">
        <f t="shared" ca="1" si="60"/>
        <v>10-B</v>
      </c>
      <c r="C416" t="str">
        <f t="shared" ca="1" si="61"/>
        <v>English</v>
      </c>
      <c r="D416">
        <f t="shared" ca="1" si="62"/>
        <v>53.9</v>
      </c>
      <c r="E416">
        <v>100</v>
      </c>
      <c r="F416">
        <f t="shared" ca="1" si="63"/>
        <v>79</v>
      </c>
      <c r="G416" t="str">
        <f t="shared" ca="1" si="64"/>
        <v>Completed</v>
      </c>
      <c r="H416" t="str">
        <f t="shared" ca="1" si="65"/>
        <v>Yes</v>
      </c>
      <c r="I416" t="str">
        <f t="shared" ca="1" si="66"/>
        <v>Yes</v>
      </c>
      <c r="J416" t="str">
        <f t="shared" ca="1" si="67"/>
        <v>Low</v>
      </c>
      <c r="K416" t="str">
        <f t="shared" ca="1" si="68"/>
        <v>Pass</v>
      </c>
      <c r="L416" s="4" t="str" cm="1">
        <f t="array" aca="1" ref="L416" ca="1">_xlfn.IFS(D416&gt;=85,"A", D416&gt;=70,"B", D416&gt;=50,"C", D416&lt;50,"D")</f>
        <v>C</v>
      </c>
      <c r="M416" t="str">
        <f t="shared" ca="1" si="69"/>
        <v>Medium</v>
      </c>
    </row>
    <row r="417" spans="1:13" x14ac:dyDescent="0.3">
      <c r="A417" t="s">
        <v>459</v>
      </c>
      <c r="B417" t="str">
        <f t="shared" ca="1" si="60"/>
        <v>10-B</v>
      </c>
      <c r="C417" t="str">
        <f t="shared" ca="1" si="61"/>
        <v>Science</v>
      </c>
      <c r="D417">
        <f t="shared" ca="1" si="62"/>
        <v>71.3</v>
      </c>
      <c r="E417">
        <v>100</v>
      </c>
      <c r="F417">
        <f t="shared" ca="1" si="63"/>
        <v>53</v>
      </c>
      <c r="G417" t="str">
        <f t="shared" ca="1" si="64"/>
        <v>None</v>
      </c>
      <c r="H417" t="str">
        <f t="shared" ca="1" si="65"/>
        <v>Yes</v>
      </c>
      <c r="I417" t="str">
        <f t="shared" ca="1" si="66"/>
        <v>No</v>
      </c>
      <c r="J417" t="str">
        <f t="shared" ca="1" si="67"/>
        <v>High</v>
      </c>
      <c r="K417" t="str">
        <f t="shared" ca="1" si="68"/>
        <v>Pass</v>
      </c>
      <c r="L417" s="4" t="str" cm="1">
        <f t="array" aca="1" ref="L417" ca="1">_xlfn.IFS(D417&gt;=85,"A", D417&gt;=70,"B", D417&gt;=50,"C", D417&lt;50,"D")</f>
        <v>B</v>
      </c>
      <c r="M417" t="str">
        <f t="shared" ca="1" si="69"/>
        <v>Low</v>
      </c>
    </row>
    <row r="418" spans="1:13" x14ac:dyDescent="0.3">
      <c r="A418" t="s">
        <v>460</v>
      </c>
      <c r="B418" t="str">
        <f t="shared" ca="1" si="60"/>
        <v>10-C</v>
      </c>
      <c r="C418" t="str">
        <f t="shared" ca="1" si="61"/>
        <v>English</v>
      </c>
      <c r="D418">
        <f t="shared" ca="1" si="62"/>
        <v>50.1</v>
      </c>
      <c r="E418">
        <v>100</v>
      </c>
      <c r="F418">
        <f t="shared" ca="1" si="63"/>
        <v>71</v>
      </c>
      <c r="G418" t="str">
        <f t="shared" ca="1" si="64"/>
        <v>None</v>
      </c>
      <c r="H418" t="str">
        <f t="shared" ca="1" si="65"/>
        <v>No</v>
      </c>
      <c r="I418" t="str">
        <f t="shared" ca="1" si="66"/>
        <v>No</v>
      </c>
      <c r="J418" t="str">
        <f t="shared" ca="1" si="67"/>
        <v>High</v>
      </c>
      <c r="K418" t="str">
        <f t="shared" ca="1" si="68"/>
        <v>Pass</v>
      </c>
      <c r="L418" s="4" t="str" cm="1">
        <f t="array" aca="1" ref="L418" ca="1">_xlfn.IFS(D418&gt;=85,"A", D418&gt;=70,"B", D418&gt;=50,"C", D418&lt;50,"D")</f>
        <v>C</v>
      </c>
      <c r="M418" t="str">
        <f t="shared" ca="1" si="69"/>
        <v>Low</v>
      </c>
    </row>
    <row r="419" spans="1:13" x14ac:dyDescent="0.3">
      <c r="A419" t="s">
        <v>461</v>
      </c>
      <c r="B419" t="str">
        <f t="shared" ca="1" si="60"/>
        <v>10-B</v>
      </c>
      <c r="C419" t="str">
        <f t="shared" ca="1" si="61"/>
        <v>Science</v>
      </c>
      <c r="D419">
        <f t="shared" ca="1" si="62"/>
        <v>39.1</v>
      </c>
      <c r="E419">
        <v>100</v>
      </c>
      <c r="F419">
        <f t="shared" ca="1" si="63"/>
        <v>91</v>
      </c>
      <c r="G419" t="str">
        <f t="shared" ca="1" si="64"/>
        <v>None</v>
      </c>
      <c r="H419" t="str">
        <f t="shared" ca="1" si="65"/>
        <v>Yes</v>
      </c>
      <c r="I419" t="str">
        <f t="shared" ca="1" si="66"/>
        <v>Yes</v>
      </c>
      <c r="J419" t="str">
        <f t="shared" ca="1" si="67"/>
        <v>Medium</v>
      </c>
      <c r="K419" t="str">
        <f t="shared" ca="1" si="68"/>
        <v>Fail</v>
      </c>
      <c r="L419" s="4" t="str" cm="1">
        <f t="array" aca="1" ref="L419" ca="1">_xlfn.IFS(D419&gt;=85,"A", D419&gt;=70,"B", D419&gt;=50,"C", D419&lt;50,"D")</f>
        <v>D</v>
      </c>
      <c r="M419" t="str">
        <f t="shared" ca="1" si="69"/>
        <v>High</v>
      </c>
    </row>
    <row r="420" spans="1:13" x14ac:dyDescent="0.3">
      <c r="A420" t="s">
        <v>462</v>
      </c>
      <c r="B420" t="str">
        <f t="shared" ca="1" si="60"/>
        <v>10-C</v>
      </c>
      <c r="C420" t="str">
        <f t="shared" ca="1" si="61"/>
        <v>Science</v>
      </c>
      <c r="D420">
        <f t="shared" ca="1" si="62"/>
        <v>42.2</v>
      </c>
      <c r="E420">
        <v>100</v>
      </c>
      <c r="F420">
        <f t="shared" ca="1" si="63"/>
        <v>82</v>
      </c>
      <c r="G420" t="str">
        <f t="shared" ca="1" si="64"/>
        <v>None</v>
      </c>
      <c r="H420" t="str">
        <f t="shared" ca="1" si="65"/>
        <v>No</v>
      </c>
      <c r="I420" t="str">
        <f t="shared" ca="1" si="66"/>
        <v>Yes</v>
      </c>
      <c r="J420" t="str">
        <f t="shared" ca="1" si="67"/>
        <v>Medium</v>
      </c>
      <c r="K420" t="str">
        <f t="shared" ca="1" si="68"/>
        <v>Pass</v>
      </c>
      <c r="L420" s="4" t="str" cm="1">
        <f t="array" aca="1" ref="L420" ca="1">_xlfn.IFS(D420&gt;=85,"A", D420&gt;=70,"B", D420&gt;=50,"C", D420&lt;50,"D")</f>
        <v>D</v>
      </c>
      <c r="M420" t="str">
        <f t="shared" ca="1" si="69"/>
        <v>Medium</v>
      </c>
    </row>
    <row r="421" spans="1:13" x14ac:dyDescent="0.3">
      <c r="A421" t="s">
        <v>463</v>
      </c>
      <c r="B421" t="str">
        <f t="shared" ca="1" si="60"/>
        <v>10-B</v>
      </c>
      <c r="C421" t="str">
        <f t="shared" ca="1" si="61"/>
        <v>Math</v>
      </c>
      <c r="D421">
        <f t="shared" ca="1" si="62"/>
        <v>46.1</v>
      </c>
      <c r="E421">
        <v>100</v>
      </c>
      <c r="F421">
        <f t="shared" ca="1" si="63"/>
        <v>71</v>
      </c>
      <c r="G421" t="str">
        <f t="shared" ca="1" si="64"/>
        <v>None</v>
      </c>
      <c r="H421" t="str">
        <f t="shared" ca="1" si="65"/>
        <v>Yes</v>
      </c>
      <c r="I421" t="str">
        <f t="shared" ca="1" si="66"/>
        <v>Yes</v>
      </c>
      <c r="J421" t="str">
        <f t="shared" ca="1" si="67"/>
        <v>Medium</v>
      </c>
      <c r="K421" t="str">
        <f t="shared" ca="1" si="68"/>
        <v>Pass</v>
      </c>
      <c r="L421" s="4" t="str" cm="1">
        <f t="array" aca="1" ref="L421" ca="1">_xlfn.IFS(D421&gt;=85,"A", D421&gt;=70,"B", D421&gt;=50,"C", D421&lt;50,"D")</f>
        <v>D</v>
      </c>
      <c r="M421" t="str">
        <f t="shared" ca="1" si="69"/>
        <v>Low</v>
      </c>
    </row>
    <row r="422" spans="1:13" x14ac:dyDescent="0.3">
      <c r="A422" t="s">
        <v>464</v>
      </c>
      <c r="B422" t="str">
        <f t="shared" ca="1" si="60"/>
        <v>10-A</v>
      </c>
      <c r="C422" t="str">
        <f t="shared" ca="1" si="61"/>
        <v>Math</v>
      </c>
      <c r="D422">
        <f t="shared" ca="1" si="62"/>
        <v>59.6</v>
      </c>
      <c r="E422">
        <v>100</v>
      </c>
      <c r="F422">
        <f t="shared" ca="1" si="63"/>
        <v>46</v>
      </c>
      <c r="G422" t="str">
        <f t="shared" ca="1" si="64"/>
        <v>Completed</v>
      </c>
      <c r="H422" t="str">
        <f t="shared" ca="1" si="65"/>
        <v>No</v>
      </c>
      <c r="I422" t="str">
        <f t="shared" ca="1" si="66"/>
        <v>Yes</v>
      </c>
      <c r="J422" t="str">
        <f t="shared" ca="1" si="67"/>
        <v>Low</v>
      </c>
      <c r="K422" t="str">
        <f t="shared" ca="1" si="68"/>
        <v>Pass</v>
      </c>
      <c r="L422" s="4" t="str" cm="1">
        <f t="array" aca="1" ref="L422" ca="1">_xlfn.IFS(D422&gt;=85,"A", D422&gt;=70,"B", D422&gt;=50,"C", D422&lt;50,"D")</f>
        <v>C</v>
      </c>
      <c r="M422" t="str">
        <f t="shared" ca="1" si="69"/>
        <v>Low</v>
      </c>
    </row>
    <row r="423" spans="1:13" x14ac:dyDescent="0.3">
      <c r="A423" t="s">
        <v>465</v>
      </c>
      <c r="B423" t="str">
        <f t="shared" ca="1" si="60"/>
        <v>10-C</v>
      </c>
      <c r="C423" t="str">
        <f t="shared" ca="1" si="61"/>
        <v>English</v>
      </c>
      <c r="D423">
        <f t="shared" ca="1" si="62"/>
        <v>59.1</v>
      </c>
      <c r="E423">
        <v>100</v>
      </c>
      <c r="F423">
        <f t="shared" ca="1" si="63"/>
        <v>91</v>
      </c>
      <c r="G423" t="str">
        <f t="shared" ca="1" si="64"/>
        <v>None</v>
      </c>
      <c r="H423" t="str">
        <f t="shared" ca="1" si="65"/>
        <v>No</v>
      </c>
      <c r="I423" t="str">
        <f t="shared" ca="1" si="66"/>
        <v>Yes</v>
      </c>
      <c r="J423" t="str">
        <f t="shared" ca="1" si="67"/>
        <v>Low</v>
      </c>
      <c r="K423" t="str">
        <f t="shared" ca="1" si="68"/>
        <v>Pass</v>
      </c>
      <c r="L423" s="4" t="str" cm="1">
        <f t="array" aca="1" ref="L423" ca="1">_xlfn.IFS(D423&gt;=85,"A", D423&gt;=70,"B", D423&gt;=50,"C", D423&lt;50,"D")</f>
        <v>C</v>
      </c>
      <c r="M423" t="str">
        <f t="shared" ca="1" si="69"/>
        <v>High</v>
      </c>
    </row>
    <row r="424" spans="1:13" x14ac:dyDescent="0.3">
      <c r="A424" t="s">
        <v>466</v>
      </c>
      <c r="B424" t="str">
        <f t="shared" ca="1" si="60"/>
        <v>10-C</v>
      </c>
      <c r="C424" t="str">
        <f t="shared" ca="1" si="61"/>
        <v>Math</v>
      </c>
      <c r="D424">
        <f t="shared" ca="1" si="62"/>
        <v>40.4</v>
      </c>
      <c r="E424">
        <v>100</v>
      </c>
      <c r="F424">
        <f t="shared" ca="1" si="63"/>
        <v>84</v>
      </c>
      <c r="G424" t="str">
        <f t="shared" ca="1" si="64"/>
        <v>None</v>
      </c>
      <c r="H424" t="str">
        <f t="shared" ca="1" si="65"/>
        <v>Yes</v>
      </c>
      <c r="I424" t="str">
        <f t="shared" ca="1" si="66"/>
        <v>Yes</v>
      </c>
      <c r="J424" t="str">
        <f t="shared" ca="1" si="67"/>
        <v>Medium</v>
      </c>
      <c r="K424" t="str">
        <f t="shared" ca="1" si="68"/>
        <v>Pass</v>
      </c>
      <c r="L424" s="4" t="str" cm="1">
        <f t="array" aca="1" ref="L424" ca="1">_xlfn.IFS(D424&gt;=85,"A", D424&gt;=70,"B", D424&gt;=50,"C", D424&lt;50,"D")</f>
        <v>D</v>
      </c>
      <c r="M424" t="str">
        <f t="shared" ca="1" si="69"/>
        <v>Medium</v>
      </c>
    </row>
    <row r="425" spans="1:13" x14ac:dyDescent="0.3">
      <c r="A425" t="s">
        <v>467</v>
      </c>
      <c r="B425" t="str">
        <f t="shared" ca="1" si="60"/>
        <v>10-A</v>
      </c>
      <c r="C425" t="str">
        <f t="shared" ca="1" si="61"/>
        <v>Science</v>
      </c>
      <c r="D425">
        <f t="shared" ca="1" si="62"/>
        <v>68</v>
      </c>
      <c r="E425">
        <v>100</v>
      </c>
      <c r="F425">
        <f t="shared" ca="1" si="63"/>
        <v>70</v>
      </c>
      <c r="G425" t="str">
        <f t="shared" ca="1" si="64"/>
        <v>Completed</v>
      </c>
      <c r="H425" t="str">
        <f t="shared" ca="1" si="65"/>
        <v>Yes</v>
      </c>
      <c r="I425" t="str">
        <f t="shared" ca="1" si="66"/>
        <v>Yes</v>
      </c>
      <c r="J425" t="str">
        <f t="shared" ca="1" si="67"/>
        <v>Low</v>
      </c>
      <c r="K425" t="str">
        <f t="shared" ca="1" si="68"/>
        <v>Pass</v>
      </c>
      <c r="L425" s="4" t="str" cm="1">
        <f t="array" aca="1" ref="L425" ca="1">_xlfn.IFS(D425&gt;=85,"A", D425&gt;=70,"B", D425&gt;=50,"C", D425&lt;50,"D")</f>
        <v>C</v>
      </c>
      <c r="M425" t="str">
        <f t="shared" ca="1" si="69"/>
        <v>Low</v>
      </c>
    </row>
    <row r="426" spans="1:13" x14ac:dyDescent="0.3">
      <c r="A426" t="s">
        <v>468</v>
      </c>
      <c r="B426" t="str">
        <f t="shared" ca="1" si="60"/>
        <v>10-A</v>
      </c>
      <c r="C426" t="str">
        <f t="shared" ca="1" si="61"/>
        <v>Math</v>
      </c>
      <c r="D426">
        <f t="shared" ca="1" si="62"/>
        <v>81.5</v>
      </c>
      <c r="E426">
        <v>100</v>
      </c>
      <c r="F426">
        <f t="shared" ca="1" si="63"/>
        <v>45</v>
      </c>
      <c r="G426" t="str">
        <f t="shared" ca="1" si="64"/>
        <v>None</v>
      </c>
      <c r="H426" t="str">
        <f t="shared" ca="1" si="65"/>
        <v>Yes</v>
      </c>
      <c r="I426" t="str">
        <f t="shared" ca="1" si="66"/>
        <v>Yes</v>
      </c>
      <c r="J426" t="str">
        <f t="shared" ca="1" si="67"/>
        <v>Low</v>
      </c>
      <c r="K426" t="str">
        <f t="shared" ca="1" si="68"/>
        <v>Pass</v>
      </c>
      <c r="L426" s="4" t="str" cm="1">
        <f t="array" aca="1" ref="L426" ca="1">_xlfn.IFS(D426&gt;=85,"A", D426&gt;=70,"B", D426&gt;=50,"C", D426&lt;50,"D")</f>
        <v>B</v>
      </c>
      <c r="M426" t="str">
        <f t="shared" ca="1" si="69"/>
        <v>Low</v>
      </c>
    </row>
    <row r="427" spans="1:13" x14ac:dyDescent="0.3">
      <c r="A427" t="s">
        <v>469</v>
      </c>
      <c r="B427" t="str">
        <f t="shared" ca="1" si="60"/>
        <v>10-C</v>
      </c>
      <c r="C427" t="str">
        <f t="shared" ca="1" si="61"/>
        <v>English</v>
      </c>
      <c r="D427">
        <f t="shared" ca="1" si="62"/>
        <v>63.4</v>
      </c>
      <c r="E427">
        <v>100</v>
      </c>
      <c r="F427">
        <f t="shared" ca="1" si="63"/>
        <v>44</v>
      </c>
      <c r="G427" t="str">
        <f t="shared" ca="1" si="64"/>
        <v>Completed</v>
      </c>
      <c r="H427" t="str">
        <f t="shared" ca="1" si="65"/>
        <v>Yes</v>
      </c>
      <c r="I427" t="str">
        <f t="shared" ca="1" si="66"/>
        <v>Yes</v>
      </c>
      <c r="J427" t="str">
        <f t="shared" ca="1" si="67"/>
        <v>Low</v>
      </c>
      <c r="K427" t="str">
        <f t="shared" ca="1" si="68"/>
        <v>Pass</v>
      </c>
      <c r="L427" s="4" t="str" cm="1">
        <f t="array" aca="1" ref="L427" ca="1">_xlfn.IFS(D427&gt;=85,"A", D427&gt;=70,"B", D427&gt;=50,"C", D427&lt;50,"D")</f>
        <v>C</v>
      </c>
      <c r="M427" t="str">
        <f t="shared" ca="1" si="69"/>
        <v>Low</v>
      </c>
    </row>
    <row r="428" spans="1:13" x14ac:dyDescent="0.3">
      <c r="A428" t="s">
        <v>470</v>
      </c>
      <c r="B428" t="str">
        <f t="shared" ca="1" si="60"/>
        <v>10-C</v>
      </c>
      <c r="C428" t="str">
        <f t="shared" ca="1" si="61"/>
        <v>Math</v>
      </c>
      <c r="D428">
        <f t="shared" ca="1" si="62"/>
        <v>49.4</v>
      </c>
      <c r="E428">
        <v>100</v>
      </c>
      <c r="F428">
        <f t="shared" ca="1" si="63"/>
        <v>44</v>
      </c>
      <c r="G428" t="str">
        <f t="shared" ca="1" si="64"/>
        <v>None</v>
      </c>
      <c r="H428" t="str">
        <f t="shared" ca="1" si="65"/>
        <v>No</v>
      </c>
      <c r="I428" t="str">
        <f t="shared" ca="1" si="66"/>
        <v>No</v>
      </c>
      <c r="J428" t="str">
        <f t="shared" ca="1" si="67"/>
        <v>Critical</v>
      </c>
      <c r="K428" t="str">
        <f t="shared" ca="1" si="68"/>
        <v>Pass</v>
      </c>
      <c r="L428" s="4" t="str" cm="1">
        <f t="array" aca="1" ref="L428" ca="1">_xlfn.IFS(D428&gt;=85,"A", D428&gt;=70,"B", D428&gt;=50,"C", D428&lt;50,"D")</f>
        <v>D</v>
      </c>
      <c r="M428" t="str">
        <f t="shared" ca="1" si="69"/>
        <v>Low</v>
      </c>
    </row>
    <row r="429" spans="1:13" x14ac:dyDescent="0.3">
      <c r="A429" t="s">
        <v>471</v>
      </c>
      <c r="B429" t="str">
        <f t="shared" ca="1" si="60"/>
        <v>10-A</v>
      </c>
      <c r="C429" t="str">
        <f t="shared" ca="1" si="61"/>
        <v>English</v>
      </c>
      <c r="D429">
        <f t="shared" ca="1" si="62"/>
        <v>64.900000000000006</v>
      </c>
      <c r="E429">
        <v>100</v>
      </c>
      <c r="F429">
        <f t="shared" ca="1" si="63"/>
        <v>69</v>
      </c>
      <c r="G429" t="str">
        <f t="shared" ca="1" si="64"/>
        <v>Completed</v>
      </c>
      <c r="H429" t="str">
        <f t="shared" ca="1" si="65"/>
        <v>Yes</v>
      </c>
      <c r="I429" t="str">
        <f t="shared" ca="1" si="66"/>
        <v>Yes</v>
      </c>
      <c r="J429" t="str">
        <f t="shared" ca="1" si="67"/>
        <v>Low</v>
      </c>
      <c r="K429" t="str">
        <f t="shared" ca="1" si="68"/>
        <v>Pass</v>
      </c>
      <c r="L429" s="4" t="str" cm="1">
        <f t="array" aca="1" ref="L429" ca="1">_xlfn.IFS(D429&gt;=85,"A", D429&gt;=70,"B", D429&gt;=50,"C", D429&lt;50,"D")</f>
        <v>C</v>
      </c>
      <c r="M429" t="str">
        <f t="shared" ca="1" si="69"/>
        <v>Low</v>
      </c>
    </row>
    <row r="430" spans="1:13" x14ac:dyDescent="0.3">
      <c r="A430" t="s">
        <v>472</v>
      </c>
      <c r="B430" t="str">
        <f t="shared" ca="1" si="60"/>
        <v>10-A</v>
      </c>
      <c r="C430" t="str">
        <f t="shared" ca="1" si="61"/>
        <v>English</v>
      </c>
      <c r="D430">
        <f t="shared" ca="1" si="62"/>
        <v>46.5</v>
      </c>
      <c r="E430">
        <v>100</v>
      </c>
      <c r="F430">
        <f t="shared" ca="1" si="63"/>
        <v>55</v>
      </c>
      <c r="G430" t="str">
        <f t="shared" ca="1" si="64"/>
        <v>Completed</v>
      </c>
      <c r="H430" t="str">
        <f t="shared" ca="1" si="65"/>
        <v>No</v>
      </c>
      <c r="I430" t="str">
        <f t="shared" ca="1" si="66"/>
        <v>No</v>
      </c>
      <c r="J430" t="str">
        <f t="shared" ca="1" si="67"/>
        <v>Critical</v>
      </c>
      <c r="K430" t="str">
        <f t="shared" ca="1" si="68"/>
        <v>Pass</v>
      </c>
      <c r="L430" s="4" t="str" cm="1">
        <f t="array" aca="1" ref="L430" ca="1">_xlfn.IFS(D430&gt;=85,"A", D430&gt;=70,"B", D430&gt;=50,"C", D430&lt;50,"D")</f>
        <v>D</v>
      </c>
      <c r="M430" t="str">
        <f t="shared" ca="1" si="69"/>
        <v>Low</v>
      </c>
    </row>
    <row r="431" spans="1:13" x14ac:dyDescent="0.3">
      <c r="A431" t="s">
        <v>473</v>
      </c>
      <c r="B431" t="str">
        <f t="shared" ca="1" si="60"/>
        <v>10-A</v>
      </c>
      <c r="C431" t="str">
        <f t="shared" ca="1" si="61"/>
        <v>English</v>
      </c>
      <c r="D431">
        <f t="shared" ca="1" si="62"/>
        <v>50.3</v>
      </c>
      <c r="E431">
        <v>100</v>
      </c>
      <c r="F431">
        <f t="shared" ca="1" si="63"/>
        <v>83</v>
      </c>
      <c r="G431" t="str">
        <f t="shared" ca="1" si="64"/>
        <v>Completed</v>
      </c>
      <c r="H431" t="str">
        <f t="shared" ca="1" si="65"/>
        <v>Yes</v>
      </c>
      <c r="I431" t="str">
        <f t="shared" ca="1" si="66"/>
        <v>Yes</v>
      </c>
      <c r="J431" t="str">
        <f t="shared" ca="1" si="67"/>
        <v>Low</v>
      </c>
      <c r="K431" t="str">
        <f t="shared" ca="1" si="68"/>
        <v>Pass</v>
      </c>
      <c r="L431" s="4" t="str" cm="1">
        <f t="array" aca="1" ref="L431" ca="1">_xlfn.IFS(D431&gt;=85,"A", D431&gt;=70,"B", D431&gt;=50,"C", D431&lt;50,"D")</f>
        <v>C</v>
      </c>
      <c r="M431" t="str">
        <f t="shared" ca="1" si="69"/>
        <v>Medium</v>
      </c>
    </row>
    <row r="432" spans="1:13" x14ac:dyDescent="0.3">
      <c r="A432" t="s">
        <v>474</v>
      </c>
      <c r="B432" t="str">
        <f t="shared" ca="1" si="60"/>
        <v>10-B</v>
      </c>
      <c r="C432" t="str">
        <f t="shared" ca="1" si="61"/>
        <v>Science</v>
      </c>
      <c r="D432">
        <f t="shared" ca="1" si="62"/>
        <v>43.5</v>
      </c>
      <c r="E432">
        <v>100</v>
      </c>
      <c r="F432">
        <f t="shared" ca="1" si="63"/>
        <v>55</v>
      </c>
      <c r="G432" t="str">
        <f t="shared" ca="1" si="64"/>
        <v>Completed</v>
      </c>
      <c r="H432" t="str">
        <f t="shared" ca="1" si="65"/>
        <v>No</v>
      </c>
      <c r="I432" t="str">
        <f t="shared" ca="1" si="66"/>
        <v>No</v>
      </c>
      <c r="J432" t="str">
        <f t="shared" ca="1" si="67"/>
        <v>Critical</v>
      </c>
      <c r="K432" t="str">
        <f t="shared" ca="1" si="68"/>
        <v>Pass</v>
      </c>
      <c r="L432" s="4" t="str" cm="1">
        <f t="array" aca="1" ref="L432" ca="1">_xlfn.IFS(D432&gt;=85,"A", D432&gt;=70,"B", D432&gt;=50,"C", D432&lt;50,"D")</f>
        <v>D</v>
      </c>
      <c r="M432" t="str">
        <f t="shared" ca="1" si="69"/>
        <v>Low</v>
      </c>
    </row>
    <row r="433" spans="1:13" x14ac:dyDescent="0.3">
      <c r="A433" t="s">
        <v>475</v>
      </c>
      <c r="B433" t="str">
        <f t="shared" ca="1" si="60"/>
        <v>10-A</v>
      </c>
      <c r="C433" t="str">
        <f t="shared" ca="1" si="61"/>
        <v>Science</v>
      </c>
      <c r="D433">
        <f t="shared" ca="1" si="62"/>
        <v>40.5</v>
      </c>
      <c r="E433">
        <v>100</v>
      </c>
      <c r="F433">
        <f t="shared" ca="1" si="63"/>
        <v>95</v>
      </c>
      <c r="G433" t="str">
        <f t="shared" ca="1" si="64"/>
        <v>None</v>
      </c>
      <c r="H433" t="str">
        <f t="shared" ca="1" si="65"/>
        <v>Yes</v>
      </c>
      <c r="I433" t="str">
        <f t="shared" ca="1" si="66"/>
        <v>Yes</v>
      </c>
      <c r="J433" t="str">
        <f t="shared" ca="1" si="67"/>
        <v>Medium</v>
      </c>
      <c r="K433" t="str">
        <f t="shared" ca="1" si="68"/>
        <v>Pass</v>
      </c>
      <c r="L433" s="4" t="str" cm="1">
        <f t="array" aca="1" ref="L433" ca="1">_xlfn.IFS(D433&gt;=85,"A", D433&gt;=70,"B", D433&gt;=50,"C", D433&lt;50,"D")</f>
        <v>D</v>
      </c>
      <c r="M433" t="str">
        <f t="shared" ca="1" si="69"/>
        <v>High</v>
      </c>
    </row>
    <row r="434" spans="1:13" x14ac:dyDescent="0.3">
      <c r="A434" t="s">
        <v>476</v>
      </c>
      <c r="B434" t="str">
        <f t="shared" ca="1" si="60"/>
        <v>10-B</v>
      </c>
      <c r="C434" t="str">
        <f t="shared" ca="1" si="61"/>
        <v>Science</v>
      </c>
      <c r="D434">
        <f t="shared" ca="1" si="62"/>
        <v>37.1</v>
      </c>
      <c r="E434">
        <v>100</v>
      </c>
      <c r="F434">
        <f t="shared" ca="1" si="63"/>
        <v>51</v>
      </c>
      <c r="G434" t="str">
        <f t="shared" ca="1" si="64"/>
        <v>None</v>
      </c>
      <c r="H434" t="str">
        <f t="shared" ca="1" si="65"/>
        <v>No</v>
      </c>
      <c r="I434" t="str">
        <f t="shared" ca="1" si="66"/>
        <v>Yes</v>
      </c>
      <c r="J434" t="str">
        <f t="shared" ca="1" si="67"/>
        <v>Medium</v>
      </c>
      <c r="K434" t="str">
        <f t="shared" ca="1" si="68"/>
        <v>Fail</v>
      </c>
      <c r="L434" s="4" t="str" cm="1">
        <f t="array" aca="1" ref="L434" ca="1">_xlfn.IFS(D434&gt;=85,"A", D434&gt;=70,"B", D434&gt;=50,"C", D434&lt;50,"D")</f>
        <v>D</v>
      </c>
      <c r="M434" t="str">
        <f t="shared" ca="1" si="69"/>
        <v>Low</v>
      </c>
    </row>
    <row r="435" spans="1:13" x14ac:dyDescent="0.3">
      <c r="A435" t="s">
        <v>477</v>
      </c>
      <c r="B435" t="str">
        <f t="shared" ca="1" si="60"/>
        <v>10-B</v>
      </c>
      <c r="C435" t="str">
        <f t="shared" ca="1" si="61"/>
        <v>Math</v>
      </c>
      <c r="D435">
        <f t="shared" ca="1" si="62"/>
        <v>46.9</v>
      </c>
      <c r="E435">
        <v>100</v>
      </c>
      <c r="F435">
        <f t="shared" ca="1" si="63"/>
        <v>79</v>
      </c>
      <c r="G435" t="str">
        <f t="shared" ca="1" si="64"/>
        <v>Completed</v>
      </c>
      <c r="H435" t="str">
        <f t="shared" ca="1" si="65"/>
        <v>Yes</v>
      </c>
      <c r="I435" t="str">
        <f t="shared" ca="1" si="66"/>
        <v>No</v>
      </c>
      <c r="J435" t="str">
        <f t="shared" ca="1" si="67"/>
        <v>Critical</v>
      </c>
      <c r="K435" t="str">
        <f t="shared" ca="1" si="68"/>
        <v>Pass</v>
      </c>
      <c r="L435" s="4" t="str" cm="1">
        <f t="array" aca="1" ref="L435" ca="1">_xlfn.IFS(D435&gt;=85,"A", D435&gt;=70,"B", D435&gt;=50,"C", D435&lt;50,"D")</f>
        <v>D</v>
      </c>
      <c r="M435" t="str">
        <f t="shared" ca="1" si="69"/>
        <v>Medium</v>
      </c>
    </row>
    <row r="436" spans="1:13" x14ac:dyDescent="0.3">
      <c r="A436" t="s">
        <v>478</v>
      </c>
      <c r="B436" t="str">
        <f t="shared" ca="1" si="60"/>
        <v>10-C</v>
      </c>
      <c r="C436" t="str">
        <f t="shared" ca="1" si="61"/>
        <v>English</v>
      </c>
      <c r="D436">
        <f t="shared" ca="1" si="62"/>
        <v>63.9</v>
      </c>
      <c r="E436">
        <v>100</v>
      </c>
      <c r="F436">
        <f t="shared" ca="1" si="63"/>
        <v>59</v>
      </c>
      <c r="G436" t="str">
        <f t="shared" ca="1" si="64"/>
        <v>Completed</v>
      </c>
      <c r="H436" t="str">
        <f t="shared" ca="1" si="65"/>
        <v>No</v>
      </c>
      <c r="I436" t="str">
        <f t="shared" ca="1" si="66"/>
        <v>Yes</v>
      </c>
      <c r="J436" t="str">
        <f t="shared" ca="1" si="67"/>
        <v>Low</v>
      </c>
      <c r="K436" t="str">
        <f t="shared" ca="1" si="68"/>
        <v>Pass</v>
      </c>
      <c r="L436" s="4" t="str" cm="1">
        <f t="array" aca="1" ref="L436" ca="1">_xlfn.IFS(D436&gt;=85,"A", D436&gt;=70,"B", D436&gt;=50,"C", D436&lt;50,"D")</f>
        <v>C</v>
      </c>
      <c r="M436" t="str">
        <f t="shared" ca="1" si="69"/>
        <v>Low</v>
      </c>
    </row>
    <row r="437" spans="1:13" x14ac:dyDescent="0.3">
      <c r="A437" t="s">
        <v>479</v>
      </c>
      <c r="B437" t="str">
        <f t="shared" ca="1" si="60"/>
        <v>10-B</v>
      </c>
      <c r="C437" t="str">
        <f t="shared" ca="1" si="61"/>
        <v>Math</v>
      </c>
      <c r="D437">
        <f t="shared" ca="1" si="62"/>
        <v>80.599999999999994</v>
      </c>
      <c r="E437">
        <v>100</v>
      </c>
      <c r="F437">
        <f t="shared" ca="1" si="63"/>
        <v>96</v>
      </c>
      <c r="G437" t="str">
        <f t="shared" ca="1" si="64"/>
        <v>None</v>
      </c>
      <c r="H437" t="str">
        <f t="shared" ca="1" si="65"/>
        <v>Yes</v>
      </c>
      <c r="I437" t="str">
        <f t="shared" ca="1" si="66"/>
        <v>Yes</v>
      </c>
      <c r="J437" t="str">
        <f t="shared" ca="1" si="67"/>
        <v>Low</v>
      </c>
      <c r="K437" t="str">
        <f t="shared" ca="1" si="68"/>
        <v>Pass</v>
      </c>
      <c r="L437" s="4" t="str" cm="1">
        <f t="array" aca="1" ref="L437" ca="1">_xlfn.IFS(D437&gt;=85,"A", D437&gt;=70,"B", D437&gt;=50,"C", D437&lt;50,"D")</f>
        <v>B</v>
      </c>
      <c r="M437" t="str">
        <f t="shared" ca="1" si="69"/>
        <v>High</v>
      </c>
    </row>
    <row r="438" spans="1:13" x14ac:dyDescent="0.3">
      <c r="A438" t="s">
        <v>480</v>
      </c>
      <c r="B438" t="str">
        <f t="shared" ca="1" si="60"/>
        <v>10-B</v>
      </c>
      <c r="C438" t="str">
        <f t="shared" ca="1" si="61"/>
        <v>Science</v>
      </c>
      <c r="D438">
        <f t="shared" ca="1" si="62"/>
        <v>45.7</v>
      </c>
      <c r="E438">
        <v>100</v>
      </c>
      <c r="F438">
        <f t="shared" ca="1" si="63"/>
        <v>97</v>
      </c>
      <c r="G438" t="str">
        <f t="shared" ca="1" si="64"/>
        <v>None</v>
      </c>
      <c r="H438" t="str">
        <f t="shared" ca="1" si="65"/>
        <v>Yes</v>
      </c>
      <c r="I438" t="str">
        <f t="shared" ca="1" si="66"/>
        <v>Yes</v>
      </c>
      <c r="J438" t="str">
        <f t="shared" ca="1" si="67"/>
        <v>Medium</v>
      </c>
      <c r="K438" t="str">
        <f t="shared" ca="1" si="68"/>
        <v>Pass</v>
      </c>
      <c r="L438" s="4" t="str" cm="1">
        <f t="array" aca="1" ref="L438" ca="1">_xlfn.IFS(D438&gt;=85,"A", D438&gt;=70,"B", D438&gt;=50,"C", D438&lt;50,"D")</f>
        <v>D</v>
      </c>
      <c r="M438" t="str">
        <f t="shared" ca="1" si="69"/>
        <v>High</v>
      </c>
    </row>
    <row r="439" spans="1:13" x14ac:dyDescent="0.3">
      <c r="A439" t="s">
        <v>481</v>
      </c>
      <c r="B439" t="str">
        <f t="shared" ca="1" si="60"/>
        <v>10-C</v>
      </c>
      <c r="C439" t="str">
        <f t="shared" ca="1" si="61"/>
        <v>Math</v>
      </c>
      <c r="D439">
        <f t="shared" ca="1" si="62"/>
        <v>44.3</v>
      </c>
      <c r="E439">
        <v>100</v>
      </c>
      <c r="F439">
        <f t="shared" ca="1" si="63"/>
        <v>83</v>
      </c>
      <c r="G439" t="str">
        <f t="shared" ca="1" si="64"/>
        <v>Completed</v>
      </c>
      <c r="H439" t="str">
        <f t="shared" ca="1" si="65"/>
        <v>Yes</v>
      </c>
      <c r="I439" t="str">
        <f t="shared" ca="1" si="66"/>
        <v>Yes</v>
      </c>
      <c r="J439" t="str">
        <f t="shared" ca="1" si="67"/>
        <v>Medium</v>
      </c>
      <c r="K439" t="str">
        <f t="shared" ca="1" si="68"/>
        <v>Pass</v>
      </c>
      <c r="L439" s="4" t="str" cm="1">
        <f t="array" aca="1" ref="L439" ca="1">_xlfn.IFS(D439&gt;=85,"A", D439&gt;=70,"B", D439&gt;=50,"C", D439&lt;50,"D")</f>
        <v>D</v>
      </c>
      <c r="M439" t="str">
        <f t="shared" ca="1" si="69"/>
        <v>Medium</v>
      </c>
    </row>
    <row r="440" spans="1:13" x14ac:dyDescent="0.3">
      <c r="A440" t="s">
        <v>482</v>
      </c>
      <c r="B440" t="str">
        <f t="shared" ca="1" si="60"/>
        <v>10-C</v>
      </c>
      <c r="C440" t="str">
        <f t="shared" ca="1" si="61"/>
        <v>Math</v>
      </c>
      <c r="D440">
        <f t="shared" ca="1" si="62"/>
        <v>61</v>
      </c>
      <c r="E440">
        <v>100</v>
      </c>
      <c r="F440">
        <f t="shared" ca="1" si="63"/>
        <v>100</v>
      </c>
      <c r="G440" t="str">
        <f t="shared" ca="1" si="64"/>
        <v>None</v>
      </c>
      <c r="H440" t="str">
        <f t="shared" ca="1" si="65"/>
        <v>Yes</v>
      </c>
      <c r="I440" t="str">
        <f t="shared" ca="1" si="66"/>
        <v>Yes</v>
      </c>
      <c r="J440" t="str">
        <f t="shared" ca="1" si="67"/>
        <v>Low</v>
      </c>
      <c r="K440" t="str">
        <f t="shared" ca="1" si="68"/>
        <v>Pass</v>
      </c>
      <c r="L440" s="4" t="str" cm="1">
        <f t="array" aca="1" ref="L440" ca="1">_xlfn.IFS(D440&gt;=85,"A", D440&gt;=70,"B", D440&gt;=50,"C", D440&lt;50,"D")</f>
        <v>C</v>
      </c>
      <c r="M440" t="str">
        <f t="shared" ca="1" si="69"/>
        <v>High</v>
      </c>
    </row>
    <row r="441" spans="1:13" x14ac:dyDescent="0.3">
      <c r="A441" t="s">
        <v>483</v>
      </c>
      <c r="B441" t="str">
        <f t="shared" ca="1" si="60"/>
        <v>10-B</v>
      </c>
      <c r="C441" t="str">
        <f t="shared" ca="1" si="61"/>
        <v>English</v>
      </c>
      <c r="D441">
        <f t="shared" ca="1" si="62"/>
        <v>79.900000000000006</v>
      </c>
      <c r="E441">
        <v>100</v>
      </c>
      <c r="F441">
        <f t="shared" ca="1" si="63"/>
        <v>69</v>
      </c>
      <c r="G441" t="str">
        <f t="shared" ca="1" si="64"/>
        <v>None</v>
      </c>
      <c r="H441" t="str">
        <f t="shared" ca="1" si="65"/>
        <v>Yes</v>
      </c>
      <c r="I441" t="str">
        <f t="shared" ca="1" si="66"/>
        <v>No</v>
      </c>
      <c r="J441" t="str">
        <f t="shared" ca="1" si="67"/>
        <v>High</v>
      </c>
      <c r="K441" t="str">
        <f t="shared" ca="1" si="68"/>
        <v>Pass</v>
      </c>
      <c r="L441" s="4" t="str" cm="1">
        <f t="array" aca="1" ref="L441" ca="1">_xlfn.IFS(D441&gt;=85,"A", D441&gt;=70,"B", D441&gt;=50,"C", D441&lt;50,"D")</f>
        <v>B</v>
      </c>
      <c r="M441" t="str">
        <f t="shared" ca="1" si="69"/>
        <v>Low</v>
      </c>
    </row>
    <row r="442" spans="1:13" x14ac:dyDescent="0.3">
      <c r="A442" t="s">
        <v>484</v>
      </c>
      <c r="B442" t="str">
        <f t="shared" ca="1" si="60"/>
        <v>10-A</v>
      </c>
      <c r="C442" t="str">
        <f t="shared" ca="1" si="61"/>
        <v>Math</v>
      </c>
      <c r="D442">
        <f t="shared" ca="1" si="62"/>
        <v>61.9</v>
      </c>
      <c r="E442">
        <v>100</v>
      </c>
      <c r="F442">
        <f t="shared" ca="1" si="63"/>
        <v>59</v>
      </c>
      <c r="G442" t="str">
        <f t="shared" ca="1" si="64"/>
        <v>Completed</v>
      </c>
      <c r="H442" t="str">
        <f t="shared" ca="1" si="65"/>
        <v>Yes</v>
      </c>
      <c r="I442" t="str">
        <f t="shared" ca="1" si="66"/>
        <v>No</v>
      </c>
      <c r="J442" t="str">
        <f t="shared" ca="1" si="67"/>
        <v>High</v>
      </c>
      <c r="K442" t="str">
        <f t="shared" ca="1" si="68"/>
        <v>Pass</v>
      </c>
      <c r="L442" s="4" t="str" cm="1">
        <f t="array" aca="1" ref="L442" ca="1">_xlfn.IFS(D442&gt;=85,"A", D442&gt;=70,"B", D442&gt;=50,"C", D442&lt;50,"D")</f>
        <v>C</v>
      </c>
      <c r="M442" t="str">
        <f t="shared" ca="1" si="69"/>
        <v>Low</v>
      </c>
    </row>
    <row r="443" spans="1:13" x14ac:dyDescent="0.3">
      <c r="A443" t="s">
        <v>485</v>
      </c>
      <c r="B443" t="str">
        <f t="shared" ca="1" si="60"/>
        <v>10-B</v>
      </c>
      <c r="C443" t="str">
        <f t="shared" ca="1" si="61"/>
        <v>English</v>
      </c>
      <c r="D443">
        <f t="shared" ca="1" si="62"/>
        <v>46.4</v>
      </c>
      <c r="E443">
        <v>100</v>
      </c>
      <c r="F443">
        <f t="shared" ca="1" si="63"/>
        <v>64</v>
      </c>
      <c r="G443" t="str">
        <f t="shared" ca="1" si="64"/>
        <v>None</v>
      </c>
      <c r="H443" t="str">
        <f t="shared" ca="1" si="65"/>
        <v>No</v>
      </c>
      <c r="I443" t="str">
        <f t="shared" ca="1" si="66"/>
        <v>Yes</v>
      </c>
      <c r="J443" t="str">
        <f t="shared" ca="1" si="67"/>
        <v>Medium</v>
      </c>
      <c r="K443" t="str">
        <f t="shared" ca="1" si="68"/>
        <v>Pass</v>
      </c>
      <c r="L443" s="4" t="str" cm="1">
        <f t="array" aca="1" ref="L443" ca="1">_xlfn.IFS(D443&gt;=85,"A", D443&gt;=70,"B", D443&gt;=50,"C", D443&lt;50,"D")</f>
        <v>D</v>
      </c>
      <c r="M443" t="str">
        <f t="shared" ca="1" si="69"/>
        <v>Low</v>
      </c>
    </row>
    <row r="444" spans="1:13" x14ac:dyDescent="0.3">
      <c r="A444" t="s">
        <v>486</v>
      </c>
      <c r="B444" t="str">
        <f t="shared" ca="1" si="60"/>
        <v>10-B</v>
      </c>
      <c r="C444" t="str">
        <f t="shared" ca="1" si="61"/>
        <v>Science</v>
      </c>
      <c r="D444">
        <f t="shared" ca="1" si="62"/>
        <v>49.9</v>
      </c>
      <c r="E444">
        <v>100</v>
      </c>
      <c r="F444">
        <f t="shared" ca="1" si="63"/>
        <v>89</v>
      </c>
      <c r="G444" t="str">
        <f t="shared" ca="1" si="64"/>
        <v>None</v>
      </c>
      <c r="H444" t="str">
        <f t="shared" ca="1" si="65"/>
        <v>Yes</v>
      </c>
      <c r="I444" t="str">
        <f t="shared" ca="1" si="66"/>
        <v>Yes</v>
      </c>
      <c r="J444" t="str">
        <f t="shared" ca="1" si="67"/>
        <v>Medium</v>
      </c>
      <c r="K444" t="str">
        <f t="shared" ca="1" si="68"/>
        <v>Pass</v>
      </c>
      <c r="L444" s="4" t="str" cm="1">
        <f t="array" aca="1" ref="L444" ca="1">_xlfn.IFS(D444&gt;=85,"A", D444&gt;=70,"B", D444&gt;=50,"C", D444&lt;50,"D")</f>
        <v>D</v>
      </c>
      <c r="M444" t="str">
        <f t="shared" ca="1" si="69"/>
        <v>High</v>
      </c>
    </row>
    <row r="445" spans="1:13" x14ac:dyDescent="0.3">
      <c r="A445" t="s">
        <v>487</v>
      </c>
      <c r="B445" t="str">
        <f t="shared" ca="1" si="60"/>
        <v>10-A</v>
      </c>
      <c r="C445" t="str">
        <f t="shared" ca="1" si="61"/>
        <v>Science</v>
      </c>
      <c r="D445">
        <f t="shared" ca="1" si="62"/>
        <v>68.3</v>
      </c>
      <c r="E445">
        <v>100</v>
      </c>
      <c r="F445">
        <f t="shared" ca="1" si="63"/>
        <v>83</v>
      </c>
      <c r="G445" t="str">
        <f t="shared" ca="1" si="64"/>
        <v>Completed</v>
      </c>
      <c r="H445" t="str">
        <f t="shared" ca="1" si="65"/>
        <v>Yes</v>
      </c>
      <c r="I445" t="str">
        <f t="shared" ca="1" si="66"/>
        <v>Yes</v>
      </c>
      <c r="J445" t="str">
        <f t="shared" ca="1" si="67"/>
        <v>Low</v>
      </c>
      <c r="K445" t="str">
        <f t="shared" ca="1" si="68"/>
        <v>Pass</v>
      </c>
      <c r="L445" s="4" t="str" cm="1">
        <f t="array" aca="1" ref="L445" ca="1">_xlfn.IFS(D445&gt;=85,"A", D445&gt;=70,"B", D445&gt;=50,"C", D445&lt;50,"D")</f>
        <v>C</v>
      </c>
      <c r="M445" t="str">
        <f t="shared" ca="1" si="69"/>
        <v>Medium</v>
      </c>
    </row>
    <row r="446" spans="1:13" x14ac:dyDescent="0.3">
      <c r="A446" t="s">
        <v>488</v>
      </c>
      <c r="B446" t="str">
        <f t="shared" ca="1" si="60"/>
        <v>10-B</v>
      </c>
      <c r="C446" t="str">
        <f t="shared" ca="1" si="61"/>
        <v>English</v>
      </c>
      <c r="D446">
        <f t="shared" ca="1" si="62"/>
        <v>78.8</v>
      </c>
      <c r="E446">
        <v>100</v>
      </c>
      <c r="F446">
        <f t="shared" ca="1" si="63"/>
        <v>48</v>
      </c>
      <c r="G446" t="str">
        <f t="shared" ca="1" si="64"/>
        <v>Completed</v>
      </c>
      <c r="H446" t="str">
        <f t="shared" ca="1" si="65"/>
        <v>Yes</v>
      </c>
      <c r="I446" t="str">
        <f t="shared" ca="1" si="66"/>
        <v>Yes</v>
      </c>
      <c r="J446" t="str">
        <f t="shared" ca="1" si="67"/>
        <v>Low</v>
      </c>
      <c r="K446" t="str">
        <f t="shared" ca="1" si="68"/>
        <v>Pass</v>
      </c>
      <c r="L446" s="4" t="str" cm="1">
        <f t="array" aca="1" ref="L446" ca="1">_xlfn.IFS(D446&gt;=85,"A", D446&gt;=70,"B", D446&gt;=50,"C", D446&lt;50,"D")</f>
        <v>B</v>
      </c>
      <c r="M446" t="str">
        <f t="shared" ca="1" si="69"/>
        <v>Low</v>
      </c>
    </row>
    <row r="447" spans="1:13" x14ac:dyDescent="0.3">
      <c r="A447" t="s">
        <v>489</v>
      </c>
      <c r="B447" t="str">
        <f t="shared" ca="1" si="60"/>
        <v>10-B</v>
      </c>
      <c r="C447" t="str">
        <f t="shared" ca="1" si="61"/>
        <v>Science</v>
      </c>
      <c r="D447">
        <f t="shared" ca="1" si="62"/>
        <v>74.2</v>
      </c>
      <c r="E447">
        <v>100</v>
      </c>
      <c r="F447">
        <f t="shared" ca="1" si="63"/>
        <v>92</v>
      </c>
      <c r="G447" t="str">
        <f t="shared" ca="1" si="64"/>
        <v>None</v>
      </c>
      <c r="H447" t="str">
        <f t="shared" ca="1" si="65"/>
        <v>Yes</v>
      </c>
      <c r="I447" t="str">
        <f t="shared" ca="1" si="66"/>
        <v>Yes</v>
      </c>
      <c r="J447" t="str">
        <f t="shared" ca="1" si="67"/>
        <v>Low</v>
      </c>
      <c r="K447" t="str">
        <f t="shared" ca="1" si="68"/>
        <v>Pass</v>
      </c>
      <c r="L447" s="4" t="str" cm="1">
        <f t="array" aca="1" ref="L447" ca="1">_xlfn.IFS(D447&gt;=85,"A", D447&gt;=70,"B", D447&gt;=50,"C", D447&lt;50,"D")</f>
        <v>B</v>
      </c>
      <c r="M447" t="str">
        <f t="shared" ca="1" si="69"/>
        <v>High</v>
      </c>
    </row>
    <row r="448" spans="1:13" x14ac:dyDescent="0.3">
      <c r="A448" t="s">
        <v>490</v>
      </c>
      <c r="B448" t="str">
        <f t="shared" ca="1" si="60"/>
        <v>10-C</v>
      </c>
      <c r="C448" t="str">
        <f t="shared" ca="1" si="61"/>
        <v>Math</v>
      </c>
      <c r="D448">
        <f t="shared" ca="1" si="62"/>
        <v>49.6</v>
      </c>
      <c r="E448">
        <v>100</v>
      </c>
      <c r="F448">
        <f t="shared" ca="1" si="63"/>
        <v>56</v>
      </c>
      <c r="G448" t="str">
        <f t="shared" ca="1" si="64"/>
        <v>Completed</v>
      </c>
      <c r="H448" t="str">
        <f t="shared" ca="1" si="65"/>
        <v>Yes</v>
      </c>
      <c r="I448" t="str">
        <f t="shared" ca="1" si="66"/>
        <v>Yes</v>
      </c>
      <c r="J448" t="str">
        <f t="shared" ca="1" si="67"/>
        <v>Medium</v>
      </c>
      <c r="K448" t="str">
        <f t="shared" ca="1" si="68"/>
        <v>Pass</v>
      </c>
      <c r="L448" s="4" t="str" cm="1">
        <f t="array" aca="1" ref="L448" ca="1">_xlfn.IFS(D448&gt;=85,"A", D448&gt;=70,"B", D448&gt;=50,"C", D448&lt;50,"D")</f>
        <v>D</v>
      </c>
      <c r="M448" t="str">
        <f t="shared" ca="1" si="69"/>
        <v>Low</v>
      </c>
    </row>
    <row r="449" spans="1:13" x14ac:dyDescent="0.3">
      <c r="A449" t="s">
        <v>491</v>
      </c>
      <c r="B449" t="str">
        <f t="shared" ca="1" si="60"/>
        <v>10-B</v>
      </c>
      <c r="C449" t="str">
        <f t="shared" ca="1" si="61"/>
        <v>Science</v>
      </c>
      <c r="D449">
        <f t="shared" ca="1" si="62"/>
        <v>35.5</v>
      </c>
      <c r="E449">
        <v>100</v>
      </c>
      <c r="F449">
        <f t="shared" ca="1" si="63"/>
        <v>45</v>
      </c>
      <c r="G449" t="str">
        <f t="shared" ca="1" si="64"/>
        <v>Completed</v>
      </c>
      <c r="H449" t="str">
        <f t="shared" ca="1" si="65"/>
        <v>No</v>
      </c>
      <c r="I449" t="str">
        <f t="shared" ca="1" si="66"/>
        <v>No</v>
      </c>
      <c r="J449" t="str">
        <f t="shared" ca="1" si="67"/>
        <v>Critical</v>
      </c>
      <c r="K449" t="str">
        <f t="shared" ca="1" si="68"/>
        <v>Fail</v>
      </c>
      <c r="L449" s="4" t="str" cm="1">
        <f t="array" aca="1" ref="L449" ca="1">_xlfn.IFS(D449&gt;=85,"A", D449&gt;=70,"B", D449&gt;=50,"C", D449&lt;50,"D")</f>
        <v>D</v>
      </c>
      <c r="M449" t="str">
        <f t="shared" ca="1" si="69"/>
        <v>Low</v>
      </c>
    </row>
    <row r="450" spans="1:13" x14ac:dyDescent="0.3">
      <c r="A450" t="s">
        <v>492</v>
      </c>
      <c r="B450" t="str">
        <f t="shared" ca="1" si="60"/>
        <v>10-C</v>
      </c>
      <c r="C450" t="str">
        <f t="shared" ca="1" si="61"/>
        <v>Math</v>
      </c>
      <c r="D450">
        <f t="shared" ca="1" si="62"/>
        <v>75.8</v>
      </c>
      <c r="E450">
        <v>100</v>
      </c>
      <c r="F450">
        <f t="shared" ca="1" si="63"/>
        <v>48</v>
      </c>
      <c r="G450" t="str">
        <f t="shared" ca="1" si="64"/>
        <v>None</v>
      </c>
      <c r="H450" t="str">
        <f t="shared" ca="1" si="65"/>
        <v>No</v>
      </c>
      <c r="I450" t="str">
        <f t="shared" ca="1" si="66"/>
        <v>Yes</v>
      </c>
      <c r="J450" t="str">
        <f t="shared" ca="1" si="67"/>
        <v>Low</v>
      </c>
      <c r="K450" t="str">
        <f t="shared" ca="1" si="68"/>
        <v>Pass</v>
      </c>
      <c r="L450" s="4" t="str" cm="1">
        <f t="array" aca="1" ref="L450" ca="1">_xlfn.IFS(D450&gt;=85,"A", D450&gt;=70,"B", D450&gt;=50,"C", D450&lt;50,"D")</f>
        <v>B</v>
      </c>
      <c r="M450" t="str">
        <f t="shared" ca="1" si="69"/>
        <v>Low</v>
      </c>
    </row>
    <row r="451" spans="1:13" x14ac:dyDescent="0.3">
      <c r="A451" t="s">
        <v>493</v>
      </c>
      <c r="B451" t="str">
        <f t="shared" ref="B451:B501" ca="1" si="70">CHOOSE(RANDBETWEEN(1,3), "10-A", "10-B", "10-C")</f>
        <v>10-C</v>
      </c>
      <c r="C451" t="str">
        <f t="shared" ref="C451:C501" ca="1" si="71">CHOOSE(RANDBETWEEN(1,3), "Math", "Science", "English")</f>
        <v>Math</v>
      </c>
      <c r="D451">
        <f t="shared" ref="D451:D501" ca="1" si="72">MIN(100, RANDBETWEEN(30, 80) + (F451/10))</f>
        <v>38.5</v>
      </c>
      <c r="E451">
        <v>100</v>
      </c>
      <c r="F451">
        <f t="shared" ref="F451:F501" ca="1" si="73">RANDBETWEEN(40, 100)</f>
        <v>45</v>
      </c>
      <c r="G451" t="str">
        <f t="shared" ref="G451:G501" ca="1" si="74">IF(RANDBETWEEN(0,1)=1, "Completed", "None")</f>
        <v>None</v>
      </c>
      <c r="H451" t="str">
        <f t="shared" ref="H451:H501" ca="1" si="75">IF(RANDBETWEEN(1,10)&gt;3, "Yes", "No")</f>
        <v>No</v>
      </c>
      <c r="I451" t="str">
        <f t="shared" ref="I451:I501" ca="1" si="76">IF(RANDBETWEEN(1,10)&gt;3, "Yes", "No")</f>
        <v>No</v>
      </c>
      <c r="J451" t="str">
        <f t="shared" ref="J451:J501" ca="1" si="77">IF(TRIM(I451)="No", IF(VALUE(D451)&lt;50, "Critical", "High"), IF(VALUE(D451)&lt;50, "Medium", "Low"))</f>
        <v>Critical</v>
      </c>
      <c r="K451" t="str">
        <f t="shared" ref="K451:K501" ca="1" si="78">IF(D451&gt;=40, "Pass", "Fail")</f>
        <v>Fail</v>
      </c>
      <c r="L451" s="4" t="str" cm="1">
        <f t="array" aca="1" ref="L451" ca="1">_xlfn.IFS(D451&gt;=85,"A", D451&gt;=70,"B", D451&gt;=50,"C", D451&lt;50,"D")</f>
        <v>D</v>
      </c>
      <c r="M451" t="str">
        <f t="shared" ref="M451:M501" ca="1" si="79">IF(F451&gt;=85, "High", IF(F451&gt;=75, "Medium", "Low"))</f>
        <v>Low</v>
      </c>
    </row>
    <row r="452" spans="1:13" x14ac:dyDescent="0.3">
      <c r="A452" t="s">
        <v>494</v>
      </c>
      <c r="B452" t="str">
        <f t="shared" ca="1" si="70"/>
        <v>10-C</v>
      </c>
      <c r="C452" t="str">
        <f t="shared" ca="1" si="71"/>
        <v>Math</v>
      </c>
      <c r="D452">
        <f t="shared" ca="1" si="72"/>
        <v>61.9</v>
      </c>
      <c r="E452">
        <v>100</v>
      </c>
      <c r="F452">
        <f t="shared" ca="1" si="73"/>
        <v>49</v>
      </c>
      <c r="G452" t="str">
        <f t="shared" ca="1" si="74"/>
        <v>None</v>
      </c>
      <c r="H452" t="str">
        <f t="shared" ca="1" si="75"/>
        <v>No</v>
      </c>
      <c r="I452" t="str">
        <f t="shared" ca="1" si="76"/>
        <v>Yes</v>
      </c>
      <c r="J452" t="str">
        <f t="shared" ca="1" si="77"/>
        <v>Low</v>
      </c>
      <c r="K452" t="str">
        <f t="shared" ca="1" si="78"/>
        <v>Pass</v>
      </c>
      <c r="L452" s="4" t="str" cm="1">
        <f t="array" aca="1" ref="L452" ca="1">_xlfn.IFS(D452&gt;=85,"A", D452&gt;=70,"B", D452&gt;=50,"C", D452&lt;50,"D")</f>
        <v>C</v>
      </c>
      <c r="M452" t="str">
        <f t="shared" ca="1" si="79"/>
        <v>Low</v>
      </c>
    </row>
    <row r="453" spans="1:13" x14ac:dyDescent="0.3">
      <c r="A453" t="s">
        <v>495</v>
      </c>
      <c r="B453" t="str">
        <f t="shared" ca="1" si="70"/>
        <v>10-C</v>
      </c>
      <c r="C453" t="str">
        <f t="shared" ca="1" si="71"/>
        <v>English</v>
      </c>
      <c r="D453">
        <f t="shared" ca="1" si="72"/>
        <v>68.7</v>
      </c>
      <c r="E453">
        <v>100</v>
      </c>
      <c r="F453">
        <f t="shared" ca="1" si="73"/>
        <v>47</v>
      </c>
      <c r="G453" t="str">
        <f t="shared" ca="1" si="74"/>
        <v>Completed</v>
      </c>
      <c r="H453" t="str">
        <f t="shared" ca="1" si="75"/>
        <v>Yes</v>
      </c>
      <c r="I453" t="str">
        <f t="shared" ca="1" si="76"/>
        <v>Yes</v>
      </c>
      <c r="J453" t="str">
        <f t="shared" ca="1" si="77"/>
        <v>Low</v>
      </c>
      <c r="K453" t="str">
        <f t="shared" ca="1" si="78"/>
        <v>Pass</v>
      </c>
      <c r="L453" s="4" t="str" cm="1">
        <f t="array" aca="1" ref="L453" ca="1">_xlfn.IFS(D453&gt;=85,"A", D453&gt;=70,"B", D453&gt;=50,"C", D453&lt;50,"D")</f>
        <v>C</v>
      </c>
      <c r="M453" t="str">
        <f t="shared" ca="1" si="79"/>
        <v>Low</v>
      </c>
    </row>
    <row r="454" spans="1:13" x14ac:dyDescent="0.3">
      <c r="A454" t="s">
        <v>496</v>
      </c>
      <c r="B454" t="str">
        <f t="shared" ca="1" si="70"/>
        <v>10-C</v>
      </c>
      <c r="C454" t="str">
        <f t="shared" ca="1" si="71"/>
        <v>English</v>
      </c>
      <c r="D454">
        <f t="shared" ca="1" si="72"/>
        <v>42.1</v>
      </c>
      <c r="E454">
        <v>100</v>
      </c>
      <c r="F454">
        <f t="shared" ca="1" si="73"/>
        <v>81</v>
      </c>
      <c r="G454" t="str">
        <f t="shared" ca="1" si="74"/>
        <v>Completed</v>
      </c>
      <c r="H454" t="str">
        <f t="shared" ca="1" si="75"/>
        <v>Yes</v>
      </c>
      <c r="I454" t="str">
        <f t="shared" ca="1" si="76"/>
        <v>Yes</v>
      </c>
      <c r="J454" t="str">
        <f t="shared" ca="1" si="77"/>
        <v>Medium</v>
      </c>
      <c r="K454" t="str">
        <f t="shared" ca="1" si="78"/>
        <v>Pass</v>
      </c>
      <c r="L454" s="4" t="str" cm="1">
        <f t="array" aca="1" ref="L454" ca="1">_xlfn.IFS(D454&gt;=85,"A", D454&gt;=70,"B", D454&gt;=50,"C", D454&lt;50,"D")</f>
        <v>D</v>
      </c>
      <c r="M454" t="str">
        <f t="shared" ca="1" si="79"/>
        <v>Medium</v>
      </c>
    </row>
    <row r="455" spans="1:13" x14ac:dyDescent="0.3">
      <c r="A455" t="s">
        <v>497</v>
      </c>
      <c r="B455" t="str">
        <f t="shared" ca="1" si="70"/>
        <v>10-C</v>
      </c>
      <c r="C455" t="str">
        <f t="shared" ca="1" si="71"/>
        <v>Science</v>
      </c>
      <c r="D455">
        <f t="shared" ca="1" si="72"/>
        <v>86.9</v>
      </c>
      <c r="E455">
        <v>100</v>
      </c>
      <c r="F455">
        <f t="shared" ca="1" si="73"/>
        <v>69</v>
      </c>
      <c r="G455" t="str">
        <f t="shared" ca="1" si="74"/>
        <v>None</v>
      </c>
      <c r="H455" t="str">
        <f t="shared" ca="1" si="75"/>
        <v>Yes</v>
      </c>
      <c r="I455" t="str">
        <f t="shared" ca="1" si="76"/>
        <v>Yes</v>
      </c>
      <c r="J455" t="str">
        <f t="shared" ca="1" si="77"/>
        <v>Low</v>
      </c>
      <c r="K455" t="str">
        <f t="shared" ca="1" si="78"/>
        <v>Pass</v>
      </c>
      <c r="L455" s="4" t="str" cm="1">
        <f t="array" aca="1" ref="L455" ca="1">_xlfn.IFS(D455&gt;=85,"A", D455&gt;=70,"B", D455&gt;=50,"C", D455&lt;50,"D")</f>
        <v>A</v>
      </c>
      <c r="M455" t="str">
        <f t="shared" ca="1" si="79"/>
        <v>Low</v>
      </c>
    </row>
    <row r="456" spans="1:13" x14ac:dyDescent="0.3">
      <c r="A456" t="s">
        <v>498</v>
      </c>
      <c r="B456" t="str">
        <f t="shared" ca="1" si="70"/>
        <v>10-C</v>
      </c>
      <c r="C456" t="str">
        <f t="shared" ca="1" si="71"/>
        <v>Science</v>
      </c>
      <c r="D456">
        <f t="shared" ca="1" si="72"/>
        <v>78.5</v>
      </c>
      <c r="E456">
        <v>100</v>
      </c>
      <c r="F456">
        <f t="shared" ca="1" si="73"/>
        <v>45</v>
      </c>
      <c r="G456" t="str">
        <f t="shared" ca="1" si="74"/>
        <v>Completed</v>
      </c>
      <c r="H456" t="str">
        <f t="shared" ca="1" si="75"/>
        <v>Yes</v>
      </c>
      <c r="I456" t="str">
        <f t="shared" ca="1" si="76"/>
        <v>No</v>
      </c>
      <c r="J456" t="str">
        <f t="shared" ca="1" si="77"/>
        <v>High</v>
      </c>
      <c r="K456" t="str">
        <f t="shared" ca="1" si="78"/>
        <v>Pass</v>
      </c>
      <c r="L456" s="4" t="str" cm="1">
        <f t="array" aca="1" ref="L456" ca="1">_xlfn.IFS(D456&gt;=85,"A", D456&gt;=70,"B", D456&gt;=50,"C", D456&lt;50,"D")</f>
        <v>B</v>
      </c>
      <c r="M456" t="str">
        <f t="shared" ca="1" si="79"/>
        <v>Low</v>
      </c>
    </row>
    <row r="457" spans="1:13" x14ac:dyDescent="0.3">
      <c r="A457" t="s">
        <v>499</v>
      </c>
      <c r="B457" t="str">
        <f t="shared" ca="1" si="70"/>
        <v>10-A</v>
      </c>
      <c r="C457" t="str">
        <f t="shared" ca="1" si="71"/>
        <v>Science</v>
      </c>
      <c r="D457">
        <f t="shared" ca="1" si="72"/>
        <v>43.8</v>
      </c>
      <c r="E457">
        <v>100</v>
      </c>
      <c r="F457">
        <f t="shared" ca="1" si="73"/>
        <v>68</v>
      </c>
      <c r="G457" t="str">
        <f t="shared" ca="1" si="74"/>
        <v>None</v>
      </c>
      <c r="H457" t="str">
        <f t="shared" ca="1" si="75"/>
        <v>Yes</v>
      </c>
      <c r="I457" t="str">
        <f t="shared" ca="1" si="76"/>
        <v>Yes</v>
      </c>
      <c r="J457" t="str">
        <f t="shared" ca="1" si="77"/>
        <v>Medium</v>
      </c>
      <c r="K457" t="str">
        <f t="shared" ca="1" si="78"/>
        <v>Pass</v>
      </c>
      <c r="L457" s="4" t="str" cm="1">
        <f t="array" aca="1" ref="L457" ca="1">_xlfn.IFS(D457&gt;=85,"A", D457&gt;=70,"B", D457&gt;=50,"C", D457&lt;50,"D")</f>
        <v>D</v>
      </c>
      <c r="M457" t="str">
        <f t="shared" ca="1" si="79"/>
        <v>Low</v>
      </c>
    </row>
    <row r="458" spans="1:13" x14ac:dyDescent="0.3">
      <c r="A458" t="s">
        <v>500</v>
      </c>
      <c r="B458" t="str">
        <f t="shared" ca="1" si="70"/>
        <v>10-B</v>
      </c>
      <c r="C458" t="str">
        <f t="shared" ca="1" si="71"/>
        <v>Science</v>
      </c>
      <c r="D458">
        <f t="shared" ca="1" si="72"/>
        <v>74</v>
      </c>
      <c r="E458">
        <v>100</v>
      </c>
      <c r="F458">
        <f t="shared" ca="1" si="73"/>
        <v>40</v>
      </c>
      <c r="G458" t="str">
        <f t="shared" ca="1" si="74"/>
        <v>Completed</v>
      </c>
      <c r="H458" t="str">
        <f t="shared" ca="1" si="75"/>
        <v>No</v>
      </c>
      <c r="I458" t="str">
        <f t="shared" ca="1" si="76"/>
        <v>Yes</v>
      </c>
      <c r="J458" t="str">
        <f t="shared" ca="1" si="77"/>
        <v>Low</v>
      </c>
      <c r="K458" t="str">
        <f t="shared" ca="1" si="78"/>
        <v>Pass</v>
      </c>
      <c r="L458" s="4" t="str" cm="1">
        <f t="array" aca="1" ref="L458" ca="1">_xlfn.IFS(D458&gt;=85,"A", D458&gt;=70,"B", D458&gt;=50,"C", D458&lt;50,"D")</f>
        <v>B</v>
      </c>
      <c r="M458" t="str">
        <f t="shared" ca="1" si="79"/>
        <v>Low</v>
      </c>
    </row>
    <row r="459" spans="1:13" x14ac:dyDescent="0.3">
      <c r="A459" t="s">
        <v>501</v>
      </c>
      <c r="B459" t="str">
        <f t="shared" ca="1" si="70"/>
        <v>10-A</v>
      </c>
      <c r="C459" t="str">
        <f t="shared" ca="1" si="71"/>
        <v>Science</v>
      </c>
      <c r="D459">
        <f t="shared" ca="1" si="72"/>
        <v>66.900000000000006</v>
      </c>
      <c r="E459">
        <v>100</v>
      </c>
      <c r="F459">
        <f t="shared" ca="1" si="73"/>
        <v>99</v>
      </c>
      <c r="G459" t="str">
        <f t="shared" ca="1" si="74"/>
        <v>Completed</v>
      </c>
      <c r="H459" t="str">
        <f t="shared" ca="1" si="75"/>
        <v>No</v>
      </c>
      <c r="I459" t="str">
        <f t="shared" ca="1" si="76"/>
        <v>Yes</v>
      </c>
      <c r="J459" t="str">
        <f t="shared" ca="1" si="77"/>
        <v>Low</v>
      </c>
      <c r="K459" t="str">
        <f t="shared" ca="1" si="78"/>
        <v>Pass</v>
      </c>
      <c r="L459" s="4" t="str" cm="1">
        <f t="array" aca="1" ref="L459" ca="1">_xlfn.IFS(D459&gt;=85,"A", D459&gt;=70,"B", D459&gt;=50,"C", D459&lt;50,"D")</f>
        <v>C</v>
      </c>
      <c r="M459" t="str">
        <f t="shared" ca="1" si="79"/>
        <v>High</v>
      </c>
    </row>
    <row r="460" spans="1:13" x14ac:dyDescent="0.3">
      <c r="A460" t="s">
        <v>502</v>
      </c>
      <c r="B460" t="str">
        <f t="shared" ca="1" si="70"/>
        <v>10-C</v>
      </c>
      <c r="C460" t="str">
        <f t="shared" ca="1" si="71"/>
        <v>Science</v>
      </c>
      <c r="D460">
        <f t="shared" ca="1" si="72"/>
        <v>37.700000000000003</v>
      </c>
      <c r="E460">
        <v>100</v>
      </c>
      <c r="F460">
        <f t="shared" ca="1" si="73"/>
        <v>47</v>
      </c>
      <c r="G460" t="str">
        <f t="shared" ca="1" si="74"/>
        <v>None</v>
      </c>
      <c r="H460" t="str">
        <f t="shared" ca="1" si="75"/>
        <v>No</v>
      </c>
      <c r="I460" t="str">
        <f t="shared" ca="1" si="76"/>
        <v>Yes</v>
      </c>
      <c r="J460" t="str">
        <f t="shared" ca="1" si="77"/>
        <v>Medium</v>
      </c>
      <c r="K460" t="str">
        <f t="shared" ca="1" si="78"/>
        <v>Fail</v>
      </c>
      <c r="L460" s="4" t="str" cm="1">
        <f t="array" aca="1" ref="L460" ca="1">_xlfn.IFS(D460&gt;=85,"A", D460&gt;=70,"B", D460&gt;=50,"C", D460&lt;50,"D")</f>
        <v>D</v>
      </c>
      <c r="M460" t="str">
        <f t="shared" ca="1" si="79"/>
        <v>Low</v>
      </c>
    </row>
    <row r="461" spans="1:13" x14ac:dyDescent="0.3">
      <c r="A461" t="s">
        <v>503</v>
      </c>
      <c r="B461" t="str">
        <f t="shared" ca="1" si="70"/>
        <v>10-B</v>
      </c>
      <c r="C461" t="str">
        <f t="shared" ca="1" si="71"/>
        <v>Science</v>
      </c>
      <c r="D461">
        <f t="shared" ca="1" si="72"/>
        <v>47</v>
      </c>
      <c r="E461">
        <v>100</v>
      </c>
      <c r="F461">
        <f t="shared" ca="1" si="73"/>
        <v>90</v>
      </c>
      <c r="G461" t="str">
        <f t="shared" ca="1" si="74"/>
        <v>None</v>
      </c>
      <c r="H461" t="str">
        <f t="shared" ca="1" si="75"/>
        <v>Yes</v>
      </c>
      <c r="I461" t="str">
        <f t="shared" ca="1" si="76"/>
        <v>Yes</v>
      </c>
      <c r="J461" t="str">
        <f t="shared" ca="1" si="77"/>
        <v>Medium</v>
      </c>
      <c r="K461" t="str">
        <f t="shared" ca="1" si="78"/>
        <v>Pass</v>
      </c>
      <c r="L461" s="4" t="str" cm="1">
        <f t="array" aca="1" ref="L461" ca="1">_xlfn.IFS(D461&gt;=85,"A", D461&gt;=70,"B", D461&gt;=50,"C", D461&lt;50,"D")</f>
        <v>D</v>
      </c>
      <c r="M461" t="str">
        <f t="shared" ca="1" si="79"/>
        <v>High</v>
      </c>
    </row>
    <row r="462" spans="1:13" x14ac:dyDescent="0.3">
      <c r="A462" t="s">
        <v>504</v>
      </c>
      <c r="B462" t="str">
        <f t="shared" ca="1" si="70"/>
        <v>10-B</v>
      </c>
      <c r="C462" t="str">
        <f t="shared" ca="1" si="71"/>
        <v>Math</v>
      </c>
      <c r="D462">
        <f t="shared" ca="1" si="72"/>
        <v>34.700000000000003</v>
      </c>
      <c r="E462">
        <v>100</v>
      </c>
      <c r="F462">
        <f t="shared" ca="1" si="73"/>
        <v>47</v>
      </c>
      <c r="G462" t="str">
        <f t="shared" ca="1" si="74"/>
        <v>None</v>
      </c>
      <c r="H462" t="str">
        <f t="shared" ca="1" si="75"/>
        <v>No</v>
      </c>
      <c r="I462" t="str">
        <f t="shared" ca="1" si="76"/>
        <v>Yes</v>
      </c>
      <c r="J462" t="str">
        <f t="shared" ca="1" si="77"/>
        <v>Medium</v>
      </c>
      <c r="K462" t="str">
        <f t="shared" ca="1" si="78"/>
        <v>Fail</v>
      </c>
      <c r="L462" s="4" t="str" cm="1">
        <f t="array" aca="1" ref="L462" ca="1">_xlfn.IFS(D462&gt;=85,"A", D462&gt;=70,"B", D462&gt;=50,"C", D462&lt;50,"D")</f>
        <v>D</v>
      </c>
      <c r="M462" t="str">
        <f t="shared" ca="1" si="79"/>
        <v>Low</v>
      </c>
    </row>
    <row r="463" spans="1:13" x14ac:dyDescent="0.3">
      <c r="A463" t="s">
        <v>505</v>
      </c>
      <c r="B463" t="str">
        <f t="shared" ca="1" si="70"/>
        <v>10-B</v>
      </c>
      <c r="C463" t="str">
        <f t="shared" ca="1" si="71"/>
        <v>Science</v>
      </c>
      <c r="D463">
        <f t="shared" ca="1" si="72"/>
        <v>68</v>
      </c>
      <c r="E463">
        <v>100</v>
      </c>
      <c r="F463">
        <f t="shared" ca="1" si="73"/>
        <v>60</v>
      </c>
      <c r="G463" t="str">
        <f t="shared" ca="1" si="74"/>
        <v>Completed</v>
      </c>
      <c r="H463" t="str">
        <f t="shared" ca="1" si="75"/>
        <v>Yes</v>
      </c>
      <c r="I463" t="str">
        <f t="shared" ca="1" si="76"/>
        <v>Yes</v>
      </c>
      <c r="J463" t="str">
        <f t="shared" ca="1" si="77"/>
        <v>Low</v>
      </c>
      <c r="K463" t="str">
        <f t="shared" ca="1" si="78"/>
        <v>Pass</v>
      </c>
      <c r="L463" s="4" t="str" cm="1">
        <f t="array" aca="1" ref="L463" ca="1">_xlfn.IFS(D463&gt;=85,"A", D463&gt;=70,"B", D463&gt;=50,"C", D463&lt;50,"D")</f>
        <v>C</v>
      </c>
      <c r="M463" t="str">
        <f t="shared" ca="1" si="79"/>
        <v>Low</v>
      </c>
    </row>
    <row r="464" spans="1:13" x14ac:dyDescent="0.3">
      <c r="A464" t="s">
        <v>506</v>
      </c>
      <c r="B464" t="str">
        <f t="shared" ca="1" si="70"/>
        <v>10-B</v>
      </c>
      <c r="C464" t="str">
        <f t="shared" ca="1" si="71"/>
        <v>Math</v>
      </c>
      <c r="D464">
        <f t="shared" ca="1" si="72"/>
        <v>69.599999999999994</v>
      </c>
      <c r="E464">
        <v>100</v>
      </c>
      <c r="F464">
        <f t="shared" ca="1" si="73"/>
        <v>56</v>
      </c>
      <c r="G464" t="str">
        <f t="shared" ca="1" si="74"/>
        <v>None</v>
      </c>
      <c r="H464" t="str">
        <f t="shared" ca="1" si="75"/>
        <v>Yes</v>
      </c>
      <c r="I464" t="str">
        <f t="shared" ca="1" si="76"/>
        <v>No</v>
      </c>
      <c r="J464" t="str">
        <f t="shared" ca="1" si="77"/>
        <v>High</v>
      </c>
      <c r="K464" t="str">
        <f t="shared" ca="1" si="78"/>
        <v>Pass</v>
      </c>
      <c r="L464" s="4" t="str" cm="1">
        <f t="array" aca="1" ref="L464" ca="1">_xlfn.IFS(D464&gt;=85,"A", D464&gt;=70,"B", D464&gt;=50,"C", D464&lt;50,"D")</f>
        <v>C</v>
      </c>
      <c r="M464" t="str">
        <f t="shared" ca="1" si="79"/>
        <v>Low</v>
      </c>
    </row>
    <row r="465" spans="1:13" x14ac:dyDescent="0.3">
      <c r="A465" t="s">
        <v>507</v>
      </c>
      <c r="B465" t="str">
        <f t="shared" ca="1" si="70"/>
        <v>10-C</v>
      </c>
      <c r="C465" t="str">
        <f t="shared" ca="1" si="71"/>
        <v>Math</v>
      </c>
      <c r="D465">
        <f t="shared" ca="1" si="72"/>
        <v>43.5</v>
      </c>
      <c r="E465">
        <v>100</v>
      </c>
      <c r="F465">
        <f t="shared" ca="1" si="73"/>
        <v>45</v>
      </c>
      <c r="G465" t="str">
        <f t="shared" ca="1" si="74"/>
        <v>Completed</v>
      </c>
      <c r="H465" t="str">
        <f t="shared" ca="1" si="75"/>
        <v>No</v>
      </c>
      <c r="I465" t="str">
        <f t="shared" ca="1" si="76"/>
        <v>Yes</v>
      </c>
      <c r="J465" t="str">
        <f t="shared" ca="1" si="77"/>
        <v>Medium</v>
      </c>
      <c r="K465" t="str">
        <f t="shared" ca="1" si="78"/>
        <v>Pass</v>
      </c>
      <c r="L465" s="4" t="str" cm="1">
        <f t="array" aca="1" ref="L465" ca="1">_xlfn.IFS(D465&gt;=85,"A", D465&gt;=70,"B", D465&gt;=50,"C", D465&lt;50,"D")</f>
        <v>D</v>
      </c>
      <c r="M465" t="str">
        <f t="shared" ca="1" si="79"/>
        <v>Low</v>
      </c>
    </row>
    <row r="466" spans="1:13" x14ac:dyDescent="0.3">
      <c r="A466" t="s">
        <v>508</v>
      </c>
      <c r="B466" t="str">
        <f t="shared" ca="1" si="70"/>
        <v>10-C</v>
      </c>
      <c r="C466" t="str">
        <f t="shared" ca="1" si="71"/>
        <v>Math</v>
      </c>
      <c r="D466">
        <f t="shared" ca="1" si="72"/>
        <v>73.8</v>
      </c>
      <c r="E466">
        <v>100</v>
      </c>
      <c r="F466">
        <f t="shared" ca="1" si="73"/>
        <v>88</v>
      </c>
      <c r="G466" t="str">
        <f t="shared" ca="1" si="74"/>
        <v>None</v>
      </c>
      <c r="H466" t="str">
        <f t="shared" ca="1" si="75"/>
        <v>No</v>
      </c>
      <c r="I466" t="str">
        <f t="shared" ca="1" si="76"/>
        <v>Yes</v>
      </c>
      <c r="J466" t="str">
        <f t="shared" ca="1" si="77"/>
        <v>Low</v>
      </c>
      <c r="K466" t="str">
        <f t="shared" ca="1" si="78"/>
        <v>Pass</v>
      </c>
      <c r="L466" s="4" t="str" cm="1">
        <f t="array" aca="1" ref="L466" ca="1">_xlfn.IFS(D466&gt;=85,"A", D466&gt;=70,"B", D466&gt;=50,"C", D466&lt;50,"D")</f>
        <v>B</v>
      </c>
      <c r="M466" t="str">
        <f t="shared" ca="1" si="79"/>
        <v>High</v>
      </c>
    </row>
    <row r="467" spans="1:13" x14ac:dyDescent="0.3">
      <c r="A467" t="s">
        <v>509</v>
      </c>
      <c r="B467" t="str">
        <f t="shared" ca="1" si="70"/>
        <v>10-C</v>
      </c>
      <c r="C467" t="str">
        <f t="shared" ca="1" si="71"/>
        <v>Science</v>
      </c>
      <c r="D467">
        <f t="shared" ca="1" si="72"/>
        <v>64.8</v>
      </c>
      <c r="E467">
        <v>100</v>
      </c>
      <c r="F467">
        <f t="shared" ca="1" si="73"/>
        <v>78</v>
      </c>
      <c r="G467" t="str">
        <f t="shared" ca="1" si="74"/>
        <v>Completed</v>
      </c>
      <c r="H467" t="str">
        <f t="shared" ca="1" si="75"/>
        <v>Yes</v>
      </c>
      <c r="I467" t="str">
        <f t="shared" ca="1" si="76"/>
        <v>Yes</v>
      </c>
      <c r="J467" t="str">
        <f t="shared" ca="1" si="77"/>
        <v>Low</v>
      </c>
      <c r="K467" t="str">
        <f t="shared" ca="1" si="78"/>
        <v>Pass</v>
      </c>
      <c r="L467" s="4" t="str" cm="1">
        <f t="array" aca="1" ref="L467" ca="1">_xlfn.IFS(D467&gt;=85,"A", D467&gt;=70,"B", D467&gt;=50,"C", D467&lt;50,"D")</f>
        <v>C</v>
      </c>
      <c r="M467" t="str">
        <f t="shared" ca="1" si="79"/>
        <v>Medium</v>
      </c>
    </row>
    <row r="468" spans="1:13" x14ac:dyDescent="0.3">
      <c r="A468" t="s">
        <v>510</v>
      </c>
      <c r="B468" t="str">
        <f t="shared" ca="1" si="70"/>
        <v>10-C</v>
      </c>
      <c r="C468" t="str">
        <f t="shared" ca="1" si="71"/>
        <v>Math</v>
      </c>
      <c r="D468">
        <f t="shared" ca="1" si="72"/>
        <v>47</v>
      </c>
      <c r="E468">
        <v>100</v>
      </c>
      <c r="F468">
        <f t="shared" ca="1" si="73"/>
        <v>60</v>
      </c>
      <c r="G468" t="str">
        <f t="shared" ca="1" si="74"/>
        <v>None</v>
      </c>
      <c r="H468" t="str">
        <f t="shared" ca="1" si="75"/>
        <v>No</v>
      </c>
      <c r="I468" t="str">
        <f t="shared" ca="1" si="76"/>
        <v>Yes</v>
      </c>
      <c r="J468" t="str">
        <f t="shared" ca="1" si="77"/>
        <v>Medium</v>
      </c>
      <c r="K468" t="str">
        <f t="shared" ca="1" si="78"/>
        <v>Pass</v>
      </c>
      <c r="L468" s="4" t="str" cm="1">
        <f t="array" aca="1" ref="L468" ca="1">_xlfn.IFS(D468&gt;=85,"A", D468&gt;=70,"B", D468&gt;=50,"C", D468&lt;50,"D")</f>
        <v>D</v>
      </c>
      <c r="M468" t="str">
        <f t="shared" ca="1" si="79"/>
        <v>Low</v>
      </c>
    </row>
    <row r="469" spans="1:13" x14ac:dyDescent="0.3">
      <c r="A469" t="s">
        <v>511</v>
      </c>
      <c r="B469" t="str">
        <f t="shared" ca="1" si="70"/>
        <v>10-A</v>
      </c>
      <c r="C469" t="str">
        <f t="shared" ca="1" si="71"/>
        <v>Math</v>
      </c>
      <c r="D469">
        <f t="shared" ca="1" si="72"/>
        <v>67.2</v>
      </c>
      <c r="E469">
        <v>100</v>
      </c>
      <c r="F469">
        <f t="shared" ca="1" si="73"/>
        <v>92</v>
      </c>
      <c r="G469" t="str">
        <f t="shared" ca="1" si="74"/>
        <v>Completed</v>
      </c>
      <c r="H469" t="str">
        <f t="shared" ca="1" si="75"/>
        <v>Yes</v>
      </c>
      <c r="I469" t="str">
        <f t="shared" ca="1" si="76"/>
        <v>Yes</v>
      </c>
      <c r="J469" t="str">
        <f t="shared" ca="1" si="77"/>
        <v>Low</v>
      </c>
      <c r="K469" t="str">
        <f t="shared" ca="1" si="78"/>
        <v>Pass</v>
      </c>
      <c r="L469" s="4" t="str" cm="1">
        <f t="array" aca="1" ref="L469" ca="1">_xlfn.IFS(D469&gt;=85,"A", D469&gt;=70,"B", D469&gt;=50,"C", D469&lt;50,"D")</f>
        <v>C</v>
      </c>
      <c r="M469" t="str">
        <f t="shared" ca="1" si="79"/>
        <v>High</v>
      </c>
    </row>
    <row r="470" spans="1:13" x14ac:dyDescent="0.3">
      <c r="A470" t="s">
        <v>512</v>
      </c>
      <c r="B470" t="str">
        <f t="shared" ca="1" si="70"/>
        <v>10-C</v>
      </c>
      <c r="C470" t="str">
        <f t="shared" ca="1" si="71"/>
        <v>Math</v>
      </c>
      <c r="D470">
        <f t="shared" ca="1" si="72"/>
        <v>50.4</v>
      </c>
      <c r="E470">
        <v>100</v>
      </c>
      <c r="F470">
        <f t="shared" ca="1" si="73"/>
        <v>54</v>
      </c>
      <c r="G470" t="str">
        <f t="shared" ca="1" si="74"/>
        <v>Completed</v>
      </c>
      <c r="H470" t="str">
        <f t="shared" ca="1" si="75"/>
        <v>No</v>
      </c>
      <c r="I470" t="str">
        <f t="shared" ca="1" si="76"/>
        <v>Yes</v>
      </c>
      <c r="J470" t="str">
        <f t="shared" ca="1" si="77"/>
        <v>Low</v>
      </c>
      <c r="K470" t="str">
        <f t="shared" ca="1" si="78"/>
        <v>Pass</v>
      </c>
      <c r="L470" s="4" t="str" cm="1">
        <f t="array" aca="1" ref="L470" ca="1">_xlfn.IFS(D470&gt;=85,"A", D470&gt;=70,"B", D470&gt;=50,"C", D470&lt;50,"D")</f>
        <v>C</v>
      </c>
      <c r="M470" t="str">
        <f t="shared" ca="1" si="79"/>
        <v>Low</v>
      </c>
    </row>
    <row r="471" spans="1:13" x14ac:dyDescent="0.3">
      <c r="A471" t="s">
        <v>513</v>
      </c>
      <c r="B471" t="str">
        <f t="shared" ca="1" si="70"/>
        <v>10-B</v>
      </c>
      <c r="C471" t="str">
        <f t="shared" ca="1" si="71"/>
        <v>English</v>
      </c>
      <c r="D471">
        <f t="shared" ca="1" si="72"/>
        <v>54.9</v>
      </c>
      <c r="E471">
        <v>100</v>
      </c>
      <c r="F471">
        <f t="shared" ca="1" si="73"/>
        <v>89</v>
      </c>
      <c r="G471" t="str">
        <f t="shared" ca="1" si="74"/>
        <v>Completed</v>
      </c>
      <c r="H471" t="str">
        <f t="shared" ca="1" si="75"/>
        <v>Yes</v>
      </c>
      <c r="I471" t="str">
        <f t="shared" ca="1" si="76"/>
        <v>Yes</v>
      </c>
      <c r="J471" t="str">
        <f t="shared" ca="1" si="77"/>
        <v>Low</v>
      </c>
      <c r="K471" t="str">
        <f t="shared" ca="1" si="78"/>
        <v>Pass</v>
      </c>
      <c r="L471" s="4" t="str" cm="1">
        <f t="array" aca="1" ref="L471" ca="1">_xlfn.IFS(D471&gt;=85,"A", D471&gt;=70,"B", D471&gt;=50,"C", D471&lt;50,"D")</f>
        <v>C</v>
      </c>
      <c r="M471" t="str">
        <f t="shared" ca="1" si="79"/>
        <v>High</v>
      </c>
    </row>
    <row r="472" spans="1:13" x14ac:dyDescent="0.3">
      <c r="A472" t="s">
        <v>514</v>
      </c>
      <c r="B472" t="str">
        <f t="shared" ca="1" si="70"/>
        <v>10-B</v>
      </c>
      <c r="C472" t="str">
        <f t="shared" ca="1" si="71"/>
        <v>English</v>
      </c>
      <c r="D472">
        <f t="shared" ca="1" si="72"/>
        <v>72.599999999999994</v>
      </c>
      <c r="E472">
        <v>100</v>
      </c>
      <c r="F472">
        <f t="shared" ca="1" si="73"/>
        <v>46</v>
      </c>
      <c r="G472" t="str">
        <f t="shared" ca="1" si="74"/>
        <v>Completed</v>
      </c>
      <c r="H472" t="str">
        <f t="shared" ca="1" si="75"/>
        <v>Yes</v>
      </c>
      <c r="I472" t="str">
        <f t="shared" ca="1" si="76"/>
        <v>Yes</v>
      </c>
      <c r="J472" t="str">
        <f t="shared" ca="1" si="77"/>
        <v>Low</v>
      </c>
      <c r="K472" t="str">
        <f t="shared" ca="1" si="78"/>
        <v>Pass</v>
      </c>
      <c r="L472" s="4" t="str" cm="1">
        <f t="array" aca="1" ref="L472" ca="1">_xlfn.IFS(D472&gt;=85,"A", D472&gt;=70,"B", D472&gt;=50,"C", D472&lt;50,"D")</f>
        <v>B</v>
      </c>
      <c r="M472" t="str">
        <f t="shared" ca="1" si="79"/>
        <v>Low</v>
      </c>
    </row>
    <row r="473" spans="1:13" x14ac:dyDescent="0.3">
      <c r="A473" t="s">
        <v>515</v>
      </c>
      <c r="B473" t="str">
        <f t="shared" ca="1" si="70"/>
        <v>10-A</v>
      </c>
      <c r="C473" t="str">
        <f t="shared" ca="1" si="71"/>
        <v>English</v>
      </c>
      <c r="D473">
        <f t="shared" ca="1" si="72"/>
        <v>49.7</v>
      </c>
      <c r="E473">
        <v>100</v>
      </c>
      <c r="F473">
        <f t="shared" ca="1" si="73"/>
        <v>57</v>
      </c>
      <c r="G473" t="str">
        <f t="shared" ca="1" si="74"/>
        <v>Completed</v>
      </c>
      <c r="H473" t="str">
        <f t="shared" ca="1" si="75"/>
        <v>Yes</v>
      </c>
      <c r="I473" t="str">
        <f t="shared" ca="1" si="76"/>
        <v>Yes</v>
      </c>
      <c r="J473" t="str">
        <f t="shared" ca="1" si="77"/>
        <v>Medium</v>
      </c>
      <c r="K473" t="str">
        <f t="shared" ca="1" si="78"/>
        <v>Pass</v>
      </c>
      <c r="L473" s="4" t="str" cm="1">
        <f t="array" aca="1" ref="L473" ca="1">_xlfn.IFS(D473&gt;=85,"A", D473&gt;=70,"B", D473&gt;=50,"C", D473&lt;50,"D")</f>
        <v>D</v>
      </c>
      <c r="M473" t="str">
        <f t="shared" ca="1" si="79"/>
        <v>Low</v>
      </c>
    </row>
    <row r="474" spans="1:13" x14ac:dyDescent="0.3">
      <c r="A474" t="s">
        <v>516</v>
      </c>
      <c r="B474" t="str">
        <f t="shared" ca="1" si="70"/>
        <v>10-B</v>
      </c>
      <c r="C474" t="str">
        <f t="shared" ca="1" si="71"/>
        <v>English</v>
      </c>
      <c r="D474">
        <f t="shared" ca="1" si="72"/>
        <v>57.2</v>
      </c>
      <c r="E474">
        <v>100</v>
      </c>
      <c r="F474">
        <f t="shared" ca="1" si="73"/>
        <v>92</v>
      </c>
      <c r="G474" t="str">
        <f t="shared" ca="1" si="74"/>
        <v>Completed</v>
      </c>
      <c r="H474" t="str">
        <f t="shared" ca="1" si="75"/>
        <v>No</v>
      </c>
      <c r="I474" t="str">
        <f t="shared" ca="1" si="76"/>
        <v>Yes</v>
      </c>
      <c r="J474" t="str">
        <f t="shared" ca="1" si="77"/>
        <v>Low</v>
      </c>
      <c r="K474" t="str">
        <f t="shared" ca="1" si="78"/>
        <v>Pass</v>
      </c>
      <c r="L474" s="4" t="str" cm="1">
        <f t="array" aca="1" ref="L474" ca="1">_xlfn.IFS(D474&gt;=85,"A", D474&gt;=70,"B", D474&gt;=50,"C", D474&lt;50,"D")</f>
        <v>C</v>
      </c>
      <c r="M474" t="str">
        <f t="shared" ca="1" si="79"/>
        <v>High</v>
      </c>
    </row>
    <row r="475" spans="1:13" x14ac:dyDescent="0.3">
      <c r="A475" t="s">
        <v>517</v>
      </c>
      <c r="B475" t="str">
        <f t="shared" ca="1" si="70"/>
        <v>10-A</v>
      </c>
      <c r="C475" t="str">
        <f t="shared" ca="1" si="71"/>
        <v>Math</v>
      </c>
      <c r="D475">
        <f t="shared" ca="1" si="72"/>
        <v>51.4</v>
      </c>
      <c r="E475">
        <v>100</v>
      </c>
      <c r="F475">
        <f t="shared" ca="1" si="73"/>
        <v>64</v>
      </c>
      <c r="G475" t="str">
        <f t="shared" ca="1" si="74"/>
        <v>Completed</v>
      </c>
      <c r="H475" t="str">
        <f t="shared" ca="1" si="75"/>
        <v>No</v>
      </c>
      <c r="I475" t="str">
        <f t="shared" ca="1" si="76"/>
        <v>Yes</v>
      </c>
      <c r="J475" t="str">
        <f t="shared" ca="1" si="77"/>
        <v>Low</v>
      </c>
      <c r="K475" t="str">
        <f t="shared" ca="1" si="78"/>
        <v>Pass</v>
      </c>
      <c r="L475" s="4" t="str" cm="1">
        <f t="array" aca="1" ref="L475" ca="1">_xlfn.IFS(D475&gt;=85,"A", D475&gt;=70,"B", D475&gt;=50,"C", D475&lt;50,"D")</f>
        <v>C</v>
      </c>
      <c r="M475" t="str">
        <f t="shared" ca="1" si="79"/>
        <v>Low</v>
      </c>
    </row>
    <row r="476" spans="1:13" x14ac:dyDescent="0.3">
      <c r="A476" t="s">
        <v>518</v>
      </c>
      <c r="B476" t="str">
        <f t="shared" ca="1" si="70"/>
        <v>10-A</v>
      </c>
      <c r="C476" t="str">
        <f t="shared" ca="1" si="71"/>
        <v>English</v>
      </c>
      <c r="D476">
        <f t="shared" ca="1" si="72"/>
        <v>68.5</v>
      </c>
      <c r="E476">
        <v>100</v>
      </c>
      <c r="F476">
        <f t="shared" ca="1" si="73"/>
        <v>45</v>
      </c>
      <c r="G476" t="str">
        <f t="shared" ca="1" si="74"/>
        <v>None</v>
      </c>
      <c r="H476" t="str">
        <f t="shared" ca="1" si="75"/>
        <v>Yes</v>
      </c>
      <c r="I476" t="str">
        <f t="shared" ca="1" si="76"/>
        <v>Yes</v>
      </c>
      <c r="J476" t="str">
        <f t="shared" ca="1" si="77"/>
        <v>Low</v>
      </c>
      <c r="K476" t="str">
        <f t="shared" ca="1" si="78"/>
        <v>Pass</v>
      </c>
      <c r="L476" s="4" t="str" cm="1">
        <f t="array" aca="1" ref="L476" ca="1">_xlfn.IFS(D476&gt;=85,"A", D476&gt;=70,"B", D476&gt;=50,"C", D476&lt;50,"D")</f>
        <v>C</v>
      </c>
      <c r="M476" t="str">
        <f t="shared" ca="1" si="79"/>
        <v>Low</v>
      </c>
    </row>
    <row r="477" spans="1:13" x14ac:dyDescent="0.3">
      <c r="A477" t="s">
        <v>519</v>
      </c>
      <c r="B477" t="str">
        <f t="shared" ca="1" si="70"/>
        <v>10-C</v>
      </c>
      <c r="C477" t="str">
        <f t="shared" ca="1" si="71"/>
        <v>Math</v>
      </c>
      <c r="D477">
        <f t="shared" ca="1" si="72"/>
        <v>70</v>
      </c>
      <c r="E477">
        <v>100</v>
      </c>
      <c r="F477">
        <f t="shared" ca="1" si="73"/>
        <v>50</v>
      </c>
      <c r="G477" t="str">
        <f t="shared" ca="1" si="74"/>
        <v>Completed</v>
      </c>
      <c r="H477" t="str">
        <f t="shared" ca="1" si="75"/>
        <v>No</v>
      </c>
      <c r="I477" t="str">
        <f t="shared" ca="1" si="76"/>
        <v>Yes</v>
      </c>
      <c r="J477" t="str">
        <f t="shared" ca="1" si="77"/>
        <v>Low</v>
      </c>
      <c r="K477" t="str">
        <f t="shared" ca="1" si="78"/>
        <v>Pass</v>
      </c>
      <c r="L477" s="4" t="str" cm="1">
        <f t="array" aca="1" ref="L477" ca="1">_xlfn.IFS(D477&gt;=85,"A", D477&gt;=70,"B", D477&gt;=50,"C", D477&lt;50,"D")</f>
        <v>B</v>
      </c>
      <c r="M477" t="str">
        <f t="shared" ca="1" si="79"/>
        <v>Low</v>
      </c>
    </row>
    <row r="478" spans="1:13" x14ac:dyDescent="0.3">
      <c r="A478" t="s">
        <v>520</v>
      </c>
      <c r="B478" t="str">
        <f t="shared" ca="1" si="70"/>
        <v>10-B</v>
      </c>
      <c r="C478" t="str">
        <f t="shared" ca="1" si="71"/>
        <v>Science</v>
      </c>
      <c r="D478">
        <f t="shared" ca="1" si="72"/>
        <v>72.2</v>
      </c>
      <c r="E478">
        <v>100</v>
      </c>
      <c r="F478">
        <f t="shared" ca="1" si="73"/>
        <v>42</v>
      </c>
      <c r="G478" t="str">
        <f t="shared" ca="1" si="74"/>
        <v>Completed</v>
      </c>
      <c r="H478" t="str">
        <f t="shared" ca="1" si="75"/>
        <v>Yes</v>
      </c>
      <c r="I478" t="str">
        <f t="shared" ca="1" si="76"/>
        <v>No</v>
      </c>
      <c r="J478" t="str">
        <f t="shared" ca="1" si="77"/>
        <v>High</v>
      </c>
      <c r="K478" t="str">
        <f t="shared" ca="1" si="78"/>
        <v>Pass</v>
      </c>
      <c r="L478" s="4" t="str" cm="1">
        <f t="array" aca="1" ref="L478" ca="1">_xlfn.IFS(D478&gt;=85,"A", D478&gt;=70,"B", D478&gt;=50,"C", D478&lt;50,"D")</f>
        <v>B</v>
      </c>
      <c r="M478" t="str">
        <f t="shared" ca="1" si="79"/>
        <v>Low</v>
      </c>
    </row>
    <row r="479" spans="1:13" x14ac:dyDescent="0.3">
      <c r="A479" t="s">
        <v>521</v>
      </c>
      <c r="B479" t="str">
        <f t="shared" ca="1" si="70"/>
        <v>10-C</v>
      </c>
      <c r="C479" t="str">
        <f t="shared" ca="1" si="71"/>
        <v>Science</v>
      </c>
      <c r="D479">
        <f t="shared" ca="1" si="72"/>
        <v>56.2</v>
      </c>
      <c r="E479">
        <v>100</v>
      </c>
      <c r="F479">
        <f t="shared" ca="1" si="73"/>
        <v>72</v>
      </c>
      <c r="G479" t="str">
        <f t="shared" ca="1" si="74"/>
        <v>None</v>
      </c>
      <c r="H479" t="str">
        <f t="shared" ca="1" si="75"/>
        <v>Yes</v>
      </c>
      <c r="I479" t="str">
        <f t="shared" ca="1" si="76"/>
        <v>Yes</v>
      </c>
      <c r="J479" t="str">
        <f t="shared" ca="1" si="77"/>
        <v>Low</v>
      </c>
      <c r="K479" t="str">
        <f t="shared" ca="1" si="78"/>
        <v>Pass</v>
      </c>
      <c r="L479" s="4" t="str" cm="1">
        <f t="array" aca="1" ref="L479" ca="1">_xlfn.IFS(D479&gt;=85,"A", D479&gt;=70,"B", D479&gt;=50,"C", D479&lt;50,"D")</f>
        <v>C</v>
      </c>
      <c r="M479" t="str">
        <f t="shared" ca="1" si="79"/>
        <v>Low</v>
      </c>
    </row>
    <row r="480" spans="1:13" x14ac:dyDescent="0.3">
      <c r="A480" t="s">
        <v>522</v>
      </c>
      <c r="B480" t="str">
        <f t="shared" ca="1" si="70"/>
        <v>10-C</v>
      </c>
      <c r="C480" t="str">
        <f t="shared" ca="1" si="71"/>
        <v>English</v>
      </c>
      <c r="D480">
        <f t="shared" ca="1" si="72"/>
        <v>40</v>
      </c>
      <c r="E480">
        <v>100</v>
      </c>
      <c r="F480">
        <f t="shared" ca="1" si="73"/>
        <v>70</v>
      </c>
      <c r="G480" t="str">
        <f t="shared" ca="1" si="74"/>
        <v>None</v>
      </c>
      <c r="H480" t="str">
        <f t="shared" ca="1" si="75"/>
        <v>Yes</v>
      </c>
      <c r="I480" t="str">
        <f t="shared" ca="1" si="76"/>
        <v>No</v>
      </c>
      <c r="J480" t="str">
        <f t="shared" ca="1" si="77"/>
        <v>Critical</v>
      </c>
      <c r="K480" t="str">
        <f t="shared" ca="1" si="78"/>
        <v>Pass</v>
      </c>
      <c r="L480" s="4" t="str" cm="1">
        <f t="array" aca="1" ref="L480" ca="1">_xlfn.IFS(D480&gt;=85,"A", D480&gt;=70,"B", D480&gt;=50,"C", D480&lt;50,"D")</f>
        <v>D</v>
      </c>
      <c r="M480" t="str">
        <f t="shared" ca="1" si="79"/>
        <v>Low</v>
      </c>
    </row>
    <row r="481" spans="1:13" x14ac:dyDescent="0.3">
      <c r="A481" t="s">
        <v>523</v>
      </c>
      <c r="B481" t="str">
        <f t="shared" ca="1" si="70"/>
        <v>10-C</v>
      </c>
      <c r="C481" t="str">
        <f t="shared" ca="1" si="71"/>
        <v>Math</v>
      </c>
      <c r="D481">
        <f t="shared" ca="1" si="72"/>
        <v>45.4</v>
      </c>
      <c r="E481">
        <v>100</v>
      </c>
      <c r="F481">
        <f t="shared" ca="1" si="73"/>
        <v>84</v>
      </c>
      <c r="G481" t="str">
        <f t="shared" ca="1" si="74"/>
        <v>None</v>
      </c>
      <c r="H481" t="str">
        <f t="shared" ca="1" si="75"/>
        <v>Yes</v>
      </c>
      <c r="I481" t="str">
        <f t="shared" ca="1" si="76"/>
        <v>Yes</v>
      </c>
      <c r="J481" t="str">
        <f t="shared" ca="1" si="77"/>
        <v>Medium</v>
      </c>
      <c r="K481" t="str">
        <f t="shared" ca="1" si="78"/>
        <v>Pass</v>
      </c>
      <c r="L481" s="4" t="str" cm="1">
        <f t="array" aca="1" ref="L481" ca="1">_xlfn.IFS(D481&gt;=85,"A", D481&gt;=70,"B", D481&gt;=50,"C", D481&lt;50,"D")</f>
        <v>D</v>
      </c>
      <c r="M481" t="str">
        <f t="shared" ca="1" si="79"/>
        <v>Medium</v>
      </c>
    </row>
    <row r="482" spans="1:13" x14ac:dyDescent="0.3">
      <c r="A482" t="s">
        <v>524</v>
      </c>
      <c r="B482" t="str">
        <f t="shared" ca="1" si="70"/>
        <v>10-A</v>
      </c>
      <c r="C482" t="str">
        <f t="shared" ca="1" si="71"/>
        <v>English</v>
      </c>
      <c r="D482">
        <f t="shared" ca="1" si="72"/>
        <v>54</v>
      </c>
      <c r="E482">
        <v>100</v>
      </c>
      <c r="F482">
        <f t="shared" ca="1" si="73"/>
        <v>50</v>
      </c>
      <c r="G482" t="str">
        <f t="shared" ca="1" si="74"/>
        <v>Completed</v>
      </c>
      <c r="H482" t="str">
        <f t="shared" ca="1" si="75"/>
        <v>Yes</v>
      </c>
      <c r="I482" t="str">
        <f t="shared" ca="1" si="76"/>
        <v>Yes</v>
      </c>
      <c r="J482" t="str">
        <f t="shared" ca="1" si="77"/>
        <v>Low</v>
      </c>
      <c r="K482" t="str">
        <f t="shared" ca="1" si="78"/>
        <v>Pass</v>
      </c>
      <c r="L482" s="4" t="str" cm="1">
        <f t="array" aca="1" ref="L482" ca="1">_xlfn.IFS(D482&gt;=85,"A", D482&gt;=70,"B", D482&gt;=50,"C", D482&lt;50,"D")</f>
        <v>C</v>
      </c>
      <c r="M482" t="str">
        <f t="shared" ca="1" si="79"/>
        <v>Low</v>
      </c>
    </row>
    <row r="483" spans="1:13" x14ac:dyDescent="0.3">
      <c r="A483" t="s">
        <v>525</v>
      </c>
      <c r="B483" t="str">
        <f t="shared" ca="1" si="70"/>
        <v>10-C</v>
      </c>
      <c r="C483" t="str">
        <f t="shared" ca="1" si="71"/>
        <v>Math</v>
      </c>
      <c r="D483">
        <f t="shared" ca="1" si="72"/>
        <v>61.9</v>
      </c>
      <c r="E483">
        <v>100</v>
      </c>
      <c r="F483">
        <f t="shared" ca="1" si="73"/>
        <v>49</v>
      </c>
      <c r="G483" t="str">
        <f t="shared" ca="1" si="74"/>
        <v>None</v>
      </c>
      <c r="H483" t="str">
        <f t="shared" ca="1" si="75"/>
        <v>Yes</v>
      </c>
      <c r="I483" t="str">
        <f t="shared" ca="1" si="76"/>
        <v>Yes</v>
      </c>
      <c r="J483" t="str">
        <f t="shared" ca="1" si="77"/>
        <v>Low</v>
      </c>
      <c r="K483" t="str">
        <f t="shared" ca="1" si="78"/>
        <v>Pass</v>
      </c>
      <c r="L483" s="4" t="str" cm="1">
        <f t="array" aca="1" ref="L483" ca="1">_xlfn.IFS(D483&gt;=85,"A", D483&gt;=70,"B", D483&gt;=50,"C", D483&lt;50,"D")</f>
        <v>C</v>
      </c>
      <c r="M483" t="str">
        <f t="shared" ca="1" si="79"/>
        <v>Low</v>
      </c>
    </row>
    <row r="484" spans="1:13" x14ac:dyDescent="0.3">
      <c r="A484" t="s">
        <v>526</v>
      </c>
      <c r="B484" t="str">
        <f t="shared" ca="1" si="70"/>
        <v>10-C</v>
      </c>
      <c r="C484" t="str">
        <f t="shared" ca="1" si="71"/>
        <v>Math</v>
      </c>
      <c r="D484">
        <f t="shared" ca="1" si="72"/>
        <v>55.4</v>
      </c>
      <c r="E484">
        <v>100</v>
      </c>
      <c r="F484">
        <f t="shared" ca="1" si="73"/>
        <v>84</v>
      </c>
      <c r="G484" t="str">
        <f t="shared" ca="1" si="74"/>
        <v>None</v>
      </c>
      <c r="H484" t="str">
        <f t="shared" ca="1" si="75"/>
        <v>Yes</v>
      </c>
      <c r="I484" t="str">
        <f t="shared" ca="1" si="76"/>
        <v>Yes</v>
      </c>
      <c r="J484" t="str">
        <f t="shared" ca="1" si="77"/>
        <v>Low</v>
      </c>
      <c r="K484" t="str">
        <f t="shared" ca="1" si="78"/>
        <v>Pass</v>
      </c>
      <c r="L484" s="4" t="str" cm="1">
        <f t="array" aca="1" ref="L484" ca="1">_xlfn.IFS(D484&gt;=85,"A", D484&gt;=70,"B", D484&gt;=50,"C", D484&lt;50,"D")</f>
        <v>C</v>
      </c>
      <c r="M484" t="str">
        <f t="shared" ca="1" si="79"/>
        <v>Medium</v>
      </c>
    </row>
    <row r="485" spans="1:13" x14ac:dyDescent="0.3">
      <c r="A485" t="s">
        <v>527</v>
      </c>
      <c r="B485" t="str">
        <f t="shared" ca="1" si="70"/>
        <v>10-A</v>
      </c>
      <c r="C485" t="str">
        <f t="shared" ca="1" si="71"/>
        <v>Math</v>
      </c>
      <c r="D485">
        <f t="shared" ca="1" si="72"/>
        <v>76.5</v>
      </c>
      <c r="E485">
        <v>100</v>
      </c>
      <c r="F485">
        <f t="shared" ca="1" si="73"/>
        <v>85</v>
      </c>
      <c r="G485" t="str">
        <f t="shared" ca="1" si="74"/>
        <v>None</v>
      </c>
      <c r="H485" t="str">
        <f t="shared" ca="1" si="75"/>
        <v>Yes</v>
      </c>
      <c r="I485" t="str">
        <f t="shared" ca="1" si="76"/>
        <v>Yes</v>
      </c>
      <c r="J485" t="str">
        <f t="shared" ca="1" si="77"/>
        <v>Low</v>
      </c>
      <c r="K485" t="str">
        <f t="shared" ca="1" si="78"/>
        <v>Pass</v>
      </c>
      <c r="L485" s="4" t="str" cm="1">
        <f t="array" aca="1" ref="L485" ca="1">_xlfn.IFS(D485&gt;=85,"A", D485&gt;=70,"B", D485&gt;=50,"C", D485&lt;50,"D")</f>
        <v>B</v>
      </c>
      <c r="M485" t="str">
        <f t="shared" ca="1" si="79"/>
        <v>High</v>
      </c>
    </row>
    <row r="486" spans="1:13" x14ac:dyDescent="0.3">
      <c r="A486" t="s">
        <v>528</v>
      </c>
      <c r="B486" t="str">
        <f t="shared" ca="1" si="70"/>
        <v>10-A</v>
      </c>
      <c r="C486" t="str">
        <f t="shared" ca="1" si="71"/>
        <v>Math</v>
      </c>
      <c r="D486">
        <f t="shared" ca="1" si="72"/>
        <v>45.4</v>
      </c>
      <c r="E486">
        <v>100</v>
      </c>
      <c r="F486">
        <f t="shared" ca="1" si="73"/>
        <v>84</v>
      </c>
      <c r="G486" t="str">
        <f t="shared" ca="1" si="74"/>
        <v>None</v>
      </c>
      <c r="H486" t="str">
        <f t="shared" ca="1" si="75"/>
        <v>No</v>
      </c>
      <c r="I486" t="str">
        <f t="shared" ca="1" si="76"/>
        <v>Yes</v>
      </c>
      <c r="J486" t="str">
        <f t="shared" ca="1" si="77"/>
        <v>Medium</v>
      </c>
      <c r="K486" t="str">
        <f t="shared" ca="1" si="78"/>
        <v>Pass</v>
      </c>
      <c r="L486" s="4" t="str" cm="1">
        <f t="array" aca="1" ref="L486" ca="1">_xlfn.IFS(D486&gt;=85,"A", D486&gt;=70,"B", D486&gt;=50,"C", D486&lt;50,"D")</f>
        <v>D</v>
      </c>
      <c r="M486" t="str">
        <f t="shared" ca="1" si="79"/>
        <v>Medium</v>
      </c>
    </row>
    <row r="487" spans="1:13" x14ac:dyDescent="0.3">
      <c r="A487" t="s">
        <v>529</v>
      </c>
      <c r="B487" t="str">
        <f t="shared" ca="1" si="70"/>
        <v>10-C</v>
      </c>
      <c r="C487" t="str">
        <f t="shared" ca="1" si="71"/>
        <v>Science</v>
      </c>
      <c r="D487">
        <f t="shared" ca="1" si="72"/>
        <v>78.099999999999994</v>
      </c>
      <c r="E487">
        <v>100</v>
      </c>
      <c r="F487">
        <f t="shared" ca="1" si="73"/>
        <v>71</v>
      </c>
      <c r="G487" t="str">
        <f t="shared" ca="1" si="74"/>
        <v>None</v>
      </c>
      <c r="H487" t="str">
        <f t="shared" ca="1" si="75"/>
        <v>No</v>
      </c>
      <c r="I487" t="str">
        <f t="shared" ca="1" si="76"/>
        <v>Yes</v>
      </c>
      <c r="J487" t="str">
        <f t="shared" ca="1" si="77"/>
        <v>Low</v>
      </c>
      <c r="K487" t="str">
        <f t="shared" ca="1" si="78"/>
        <v>Pass</v>
      </c>
      <c r="L487" s="4" t="str" cm="1">
        <f t="array" aca="1" ref="L487" ca="1">_xlfn.IFS(D487&gt;=85,"A", D487&gt;=70,"B", D487&gt;=50,"C", D487&lt;50,"D")</f>
        <v>B</v>
      </c>
      <c r="M487" t="str">
        <f t="shared" ca="1" si="79"/>
        <v>Low</v>
      </c>
    </row>
    <row r="488" spans="1:13" x14ac:dyDescent="0.3">
      <c r="A488" t="s">
        <v>530</v>
      </c>
      <c r="B488" t="str">
        <f t="shared" ca="1" si="70"/>
        <v>10-C</v>
      </c>
      <c r="C488" t="str">
        <f t="shared" ca="1" si="71"/>
        <v>Math</v>
      </c>
      <c r="D488">
        <f t="shared" ca="1" si="72"/>
        <v>56.6</v>
      </c>
      <c r="E488">
        <v>100</v>
      </c>
      <c r="F488">
        <f t="shared" ca="1" si="73"/>
        <v>86</v>
      </c>
      <c r="G488" t="str">
        <f t="shared" ca="1" si="74"/>
        <v>Completed</v>
      </c>
      <c r="H488" t="str">
        <f t="shared" ca="1" si="75"/>
        <v>Yes</v>
      </c>
      <c r="I488" t="str">
        <f t="shared" ca="1" si="76"/>
        <v>Yes</v>
      </c>
      <c r="J488" t="str">
        <f t="shared" ca="1" si="77"/>
        <v>Low</v>
      </c>
      <c r="K488" t="str">
        <f t="shared" ca="1" si="78"/>
        <v>Pass</v>
      </c>
      <c r="L488" s="4" t="str" cm="1">
        <f t="array" aca="1" ref="L488" ca="1">_xlfn.IFS(D488&gt;=85,"A", D488&gt;=70,"B", D488&gt;=50,"C", D488&lt;50,"D")</f>
        <v>C</v>
      </c>
      <c r="M488" t="str">
        <f t="shared" ca="1" si="79"/>
        <v>High</v>
      </c>
    </row>
    <row r="489" spans="1:13" x14ac:dyDescent="0.3">
      <c r="A489" t="s">
        <v>531</v>
      </c>
      <c r="B489" t="str">
        <f t="shared" ca="1" si="70"/>
        <v>10-B</v>
      </c>
      <c r="C489" t="str">
        <f t="shared" ca="1" si="71"/>
        <v>Math</v>
      </c>
      <c r="D489">
        <f t="shared" ca="1" si="72"/>
        <v>78.2</v>
      </c>
      <c r="E489">
        <v>100</v>
      </c>
      <c r="F489">
        <f t="shared" ca="1" si="73"/>
        <v>82</v>
      </c>
      <c r="G489" t="str">
        <f t="shared" ca="1" si="74"/>
        <v>Completed</v>
      </c>
      <c r="H489" t="str">
        <f t="shared" ca="1" si="75"/>
        <v>No</v>
      </c>
      <c r="I489" t="str">
        <f t="shared" ca="1" si="76"/>
        <v>Yes</v>
      </c>
      <c r="J489" t="str">
        <f t="shared" ca="1" si="77"/>
        <v>Low</v>
      </c>
      <c r="K489" t="str">
        <f t="shared" ca="1" si="78"/>
        <v>Pass</v>
      </c>
      <c r="L489" s="4" t="str" cm="1">
        <f t="array" aca="1" ref="L489" ca="1">_xlfn.IFS(D489&gt;=85,"A", D489&gt;=70,"B", D489&gt;=50,"C", D489&lt;50,"D")</f>
        <v>B</v>
      </c>
      <c r="M489" t="str">
        <f t="shared" ca="1" si="79"/>
        <v>Medium</v>
      </c>
    </row>
    <row r="490" spans="1:13" x14ac:dyDescent="0.3">
      <c r="A490" t="s">
        <v>532</v>
      </c>
      <c r="B490" t="str">
        <f t="shared" ca="1" si="70"/>
        <v>10-C</v>
      </c>
      <c r="C490" t="str">
        <f t="shared" ca="1" si="71"/>
        <v>Math</v>
      </c>
      <c r="D490">
        <f t="shared" ca="1" si="72"/>
        <v>73.400000000000006</v>
      </c>
      <c r="E490">
        <v>100</v>
      </c>
      <c r="F490">
        <f t="shared" ca="1" si="73"/>
        <v>94</v>
      </c>
      <c r="G490" t="str">
        <f t="shared" ca="1" si="74"/>
        <v>Completed</v>
      </c>
      <c r="H490" t="str">
        <f t="shared" ca="1" si="75"/>
        <v>Yes</v>
      </c>
      <c r="I490" t="str">
        <f t="shared" ca="1" si="76"/>
        <v>Yes</v>
      </c>
      <c r="J490" t="str">
        <f t="shared" ca="1" si="77"/>
        <v>Low</v>
      </c>
      <c r="K490" t="str">
        <f t="shared" ca="1" si="78"/>
        <v>Pass</v>
      </c>
      <c r="L490" s="4" t="str" cm="1">
        <f t="array" aca="1" ref="L490" ca="1">_xlfn.IFS(D490&gt;=85,"A", D490&gt;=70,"B", D490&gt;=50,"C", D490&lt;50,"D")</f>
        <v>B</v>
      </c>
      <c r="M490" t="str">
        <f t="shared" ca="1" si="79"/>
        <v>High</v>
      </c>
    </row>
    <row r="491" spans="1:13" x14ac:dyDescent="0.3">
      <c r="A491" t="s">
        <v>533</v>
      </c>
      <c r="B491" t="str">
        <f t="shared" ca="1" si="70"/>
        <v>10-C</v>
      </c>
      <c r="C491" t="str">
        <f t="shared" ca="1" si="71"/>
        <v>Math</v>
      </c>
      <c r="D491">
        <f t="shared" ca="1" si="72"/>
        <v>51.6</v>
      </c>
      <c r="E491">
        <v>100</v>
      </c>
      <c r="F491">
        <f t="shared" ca="1" si="73"/>
        <v>86</v>
      </c>
      <c r="G491" t="str">
        <f t="shared" ca="1" si="74"/>
        <v>Completed</v>
      </c>
      <c r="H491" t="str">
        <f t="shared" ca="1" si="75"/>
        <v>Yes</v>
      </c>
      <c r="I491" t="str">
        <f t="shared" ca="1" si="76"/>
        <v>No</v>
      </c>
      <c r="J491" t="str">
        <f t="shared" ca="1" si="77"/>
        <v>High</v>
      </c>
      <c r="K491" t="str">
        <f t="shared" ca="1" si="78"/>
        <v>Pass</v>
      </c>
      <c r="L491" s="4" t="str" cm="1">
        <f t="array" aca="1" ref="L491" ca="1">_xlfn.IFS(D491&gt;=85,"A", D491&gt;=70,"B", D491&gt;=50,"C", D491&lt;50,"D")</f>
        <v>C</v>
      </c>
      <c r="M491" t="str">
        <f t="shared" ca="1" si="79"/>
        <v>High</v>
      </c>
    </row>
    <row r="492" spans="1:13" x14ac:dyDescent="0.3">
      <c r="A492" t="s">
        <v>534</v>
      </c>
      <c r="B492" t="str">
        <f t="shared" ca="1" si="70"/>
        <v>10-B</v>
      </c>
      <c r="C492" t="str">
        <f t="shared" ca="1" si="71"/>
        <v>Math</v>
      </c>
      <c r="D492">
        <f t="shared" ca="1" si="72"/>
        <v>42.9</v>
      </c>
      <c r="E492">
        <v>100</v>
      </c>
      <c r="F492">
        <f t="shared" ca="1" si="73"/>
        <v>59</v>
      </c>
      <c r="G492" t="str">
        <f t="shared" ca="1" si="74"/>
        <v>None</v>
      </c>
      <c r="H492" t="str">
        <f t="shared" ca="1" si="75"/>
        <v>Yes</v>
      </c>
      <c r="I492" t="str">
        <f t="shared" ca="1" si="76"/>
        <v>Yes</v>
      </c>
      <c r="J492" t="str">
        <f t="shared" ca="1" si="77"/>
        <v>Medium</v>
      </c>
      <c r="K492" t="str">
        <f t="shared" ca="1" si="78"/>
        <v>Pass</v>
      </c>
      <c r="L492" s="4" t="str" cm="1">
        <f t="array" aca="1" ref="L492" ca="1">_xlfn.IFS(D492&gt;=85,"A", D492&gt;=70,"B", D492&gt;=50,"C", D492&lt;50,"D")</f>
        <v>D</v>
      </c>
      <c r="M492" t="str">
        <f t="shared" ca="1" si="79"/>
        <v>Low</v>
      </c>
    </row>
    <row r="493" spans="1:13" x14ac:dyDescent="0.3">
      <c r="A493" t="s">
        <v>535</v>
      </c>
      <c r="B493" t="str">
        <f t="shared" ca="1" si="70"/>
        <v>10-A</v>
      </c>
      <c r="C493" t="str">
        <f t="shared" ca="1" si="71"/>
        <v>English</v>
      </c>
      <c r="D493">
        <f t="shared" ca="1" si="72"/>
        <v>65.5</v>
      </c>
      <c r="E493">
        <v>100</v>
      </c>
      <c r="F493">
        <f t="shared" ca="1" si="73"/>
        <v>55</v>
      </c>
      <c r="G493" t="str">
        <f t="shared" ca="1" si="74"/>
        <v>Completed</v>
      </c>
      <c r="H493" t="str">
        <f t="shared" ca="1" si="75"/>
        <v>No</v>
      </c>
      <c r="I493" t="str">
        <f t="shared" ca="1" si="76"/>
        <v>Yes</v>
      </c>
      <c r="J493" t="str">
        <f t="shared" ca="1" si="77"/>
        <v>Low</v>
      </c>
      <c r="K493" t="str">
        <f t="shared" ca="1" si="78"/>
        <v>Pass</v>
      </c>
      <c r="L493" s="4" t="str" cm="1">
        <f t="array" aca="1" ref="L493" ca="1">_xlfn.IFS(D493&gt;=85,"A", D493&gt;=70,"B", D493&gt;=50,"C", D493&lt;50,"D")</f>
        <v>C</v>
      </c>
      <c r="M493" t="str">
        <f t="shared" ca="1" si="79"/>
        <v>Low</v>
      </c>
    </row>
    <row r="494" spans="1:13" x14ac:dyDescent="0.3">
      <c r="A494" t="s">
        <v>536</v>
      </c>
      <c r="B494" t="str">
        <f t="shared" ca="1" si="70"/>
        <v>10-C</v>
      </c>
      <c r="C494" t="str">
        <f t="shared" ca="1" si="71"/>
        <v>Math</v>
      </c>
      <c r="D494">
        <f t="shared" ca="1" si="72"/>
        <v>56.9</v>
      </c>
      <c r="E494">
        <v>100</v>
      </c>
      <c r="F494">
        <f t="shared" ca="1" si="73"/>
        <v>89</v>
      </c>
      <c r="G494" t="str">
        <f t="shared" ca="1" si="74"/>
        <v>Completed</v>
      </c>
      <c r="H494" t="str">
        <f t="shared" ca="1" si="75"/>
        <v>Yes</v>
      </c>
      <c r="I494" t="str">
        <f t="shared" ca="1" si="76"/>
        <v>Yes</v>
      </c>
      <c r="J494" t="str">
        <f t="shared" ca="1" si="77"/>
        <v>Low</v>
      </c>
      <c r="K494" t="str">
        <f t="shared" ca="1" si="78"/>
        <v>Pass</v>
      </c>
      <c r="L494" s="4" t="str" cm="1">
        <f t="array" aca="1" ref="L494" ca="1">_xlfn.IFS(D494&gt;=85,"A", D494&gt;=70,"B", D494&gt;=50,"C", D494&lt;50,"D")</f>
        <v>C</v>
      </c>
      <c r="M494" t="str">
        <f t="shared" ca="1" si="79"/>
        <v>High</v>
      </c>
    </row>
    <row r="495" spans="1:13" x14ac:dyDescent="0.3">
      <c r="A495" t="s">
        <v>537</v>
      </c>
      <c r="B495" t="str">
        <f t="shared" ca="1" si="70"/>
        <v>10-C</v>
      </c>
      <c r="C495" t="str">
        <f t="shared" ca="1" si="71"/>
        <v>Math</v>
      </c>
      <c r="D495">
        <f t="shared" ca="1" si="72"/>
        <v>44.4</v>
      </c>
      <c r="E495">
        <v>100</v>
      </c>
      <c r="F495">
        <f t="shared" ca="1" si="73"/>
        <v>84</v>
      </c>
      <c r="G495" t="str">
        <f t="shared" ca="1" si="74"/>
        <v>None</v>
      </c>
      <c r="H495" t="str">
        <f t="shared" ca="1" si="75"/>
        <v>No</v>
      </c>
      <c r="I495" t="str">
        <f t="shared" ca="1" si="76"/>
        <v>Yes</v>
      </c>
      <c r="J495" t="str">
        <f t="shared" ca="1" si="77"/>
        <v>Medium</v>
      </c>
      <c r="K495" t="str">
        <f t="shared" ca="1" si="78"/>
        <v>Pass</v>
      </c>
      <c r="L495" s="4" t="str" cm="1">
        <f t="array" aca="1" ref="L495" ca="1">_xlfn.IFS(D495&gt;=85,"A", D495&gt;=70,"B", D495&gt;=50,"C", D495&lt;50,"D")</f>
        <v>D</v>
      </c>
      <c r="M495" t="str">
        <f t="shared" ca="1" si="79"/>
        <v>Medium</v>
      </c>
    </row>
    <row r="496" spans="1:13" x14ac:dyDescent="0.3">
      <c r="A496" t="s">
        <v>538</v>
      </c>
      <c r="B496" t="str">
        <f t="shared" ca="1" si="70"/>
        <v>10-A</v>
      </c>
      <c r="C496" t="str">
        <f t="shared" ca="1" si="71"/>
        <v>Science</v>
      </c>
      <c r="D496">
        <f t="shared" ca="1" si="72"/>
        <v>64.5</v>
      </c>
      <c r="E496">
        <v>100</v>
      </c>
      <c r="F496">
        <f t="shared" ca="1" si="73"/>
        <v>95</v>
      </c>
      <c r="G496" t="str">
        <f t="shared" ca="1" si="74"/>
        <v>Completed</v>
      </c>
      <c r="H496" t="str">
        <f t="shared" ca="1" si="75"/>
        <v>Yes</v>
      </c>
      <c r="I496" t="str">
        <f t="shared" ca="1" si="76"/>
        <v>Yes</v>
      </c>
      <c r="J496" t="str">
        <f t="shared" ca="1" si="77"/>
        <v>Low</v>
      </c>
      <c r="K496" t="str">
        <f t="shared" ca="1" si="78"/>
        <v>Pass</v>
      </c>
      <c r="L496" s="4" t="str" cm="1">
        <f t="array" aca="1" ref="L496" ca="1">_xlfn.IFS(D496&gt;=85,"A", D496&gt;=70,"B", D496&gt;=50,"C", D496&lt;50,"D")</f>
        <v>C</v>
      </c>
      <c r="M496" t="str">
        <f t="shared" ca="1" si="79"/>
        <v>High</v>
      </c>
    </row>
    <row r="497" spans="1:13" x14ac:dyDescent="0.3">
      <c r="A497" t="s">
        <v>539</v>
      </c>
      <c r="B497" t="str">
        <f t="shared" ca="1" si="70"/>
        <v>10-B</v>
      </c>
      <c r="C497" t="str">
        <f t="shared" ca="1" si="71"/>
        <v>English</v>
      </c>
      <c r="D497">
        <f t="shared" ca="1" si="72"/>
        <v>84.1</v>
      </c>
      <c r="E497">
        <v>100</v>
      </c>
      <c r="F497">
        <f t="shared" ca="1" si="73"/>
        <v>41</v>
      </c>
      <c r="G497" t="str">
        <f t="shared" ca="1" si="74"/>
        <v>Completed</v>
      </c>
      <c r="H497" t="str">
        <f t="shared" ca="1" si="75"/>
        <v>No</v>
      </c>
      <c r="I497" t="str">
        <f t="shared" ca="1" si="76"/>
        <v>Yes</v>
      </c>
      <c r="J497" t="str">
        <f t="shared" ca="1" si="77"/>
        <v>Low</v>
      </c>
      <c r="K497" t="str">
        <f t="shared" ca="1" si="78"/>
        <v>Pass</v>
      </c>
      <c r="L497" s="4" t="str" cm="1">
        <f t="array" aca="1" ref="L497" ca="1">_xlfn.IFS(D497&gt;=85,"A", D497&gt;=70,"B", D497&gt;=50,"C", D497&lt;50,"D")</f>
        <v>B</v>
      </c>
      <c r="M497" t="str">
        <f t="shared" ca="1" si="79"/>
        <v>Low</v>
      </c>
    </row>
    <row r="498" spans="1:13" x14ac:dyDescent="0.3">
      <c r="A498" t="s">
        <v>540</v>
      </c>
      <c r="B498" t="str">
        <f t="shared" ca="1" si="70"/>
        <v>10-C</v>
      </c>
      <c r="C498" t="str">
        <f t="shared" ca="1" si="71"/>
        <v>Math</v>
      </c>
      <c r="D498">
        <f t="shared" ca="1" si="72"/>
        <v>78</v>
      </c>
      <c r="E498">
        <v>100</v>
      </c>
      <c r="F498">
        <f t="shared" ca="1" si="73"/>
        <v>50</v>
      </c>
      <c r="G498" t="str">
        <f t="shared" ca="1" si="74"/>
        <v>Completed</v>
      </c>
      <c r="H498" t="str">
        <f t="shared" ca="1" si="75"/>
        <v>Yes</v>
      </c>
      <c r="I498" t="str">
        <f t="shared" ca="1" si="76"/>
        <v>No</v>
      </c>
      <c r="J498" t="str">
        <f t="shared" ca="1" si="77"/>
        <v>High</v>
      </c>
      <c r="K498" t="str">
        <f t="shared" ca="1" si="78"/>
        <v>Pass</v>
      </c>
      <c r="L498" s="4" t="str" cm="1">
        <f t="array" aca="1" ref="L498" ca="1">_xlfn.IFS(D498&gt;=85,"A", D498&gt;=70,"B", D498&gt;=50,"C", D498&lt;50,"D")</f>
        <v>B</v>
      </c>
      <c r="M498" t="str">
        <f t="shared" ca="1" si="79"/>
        <v>Low</v>
      </c>
    </row>
    <row r="499" spans="1:13" x14ac:dyDescent="0.3">
      <c r="A499" t="s">
        <v>541</v>
      </c>
      <c r="B499" t="str">
        <f t="shared" ca="1" si="70"/>
        <v>10-C</v>
      </c>
      <c r="C499" t="str">
        <f t="shared" ca="1" si="71"/>
        <v>Science</v>
      </c>
      <c r="D499">
        <f t="shared" ca="1" si="72"/>
        <v>69.900000000000006</v>
      </c>
      <c r="E499">
        <v>100</v>
      </c>
      <c r="F499">
        <f t="shared" ca="1" si="73"/>
        <v>79</v>
      </c>
      <c r="G499" t="str">
        <f t="shared" ca="1" si="74"/>
        <v>Completed</v>
      </c>
      <c r="H499" t="str">
        <f t="shared" ca="1" si="75"/>
        <v>No</v>
      </c>
      <c r="I499" t="str">
        <f t="shared" ca="1" si="76"/>
        <v>No</v>
      </c>
      <c r="J499" t="str">
        <f t="shared" ca="1" si="77"/>
        <v>High</v>
      </c>
      <c r="K499" t="str">
        <f t="shared" ca="1" si="78"/>
        <v>Pass</v>
      </c>
      <c r="L499" s="4" t="str" cm="1">
        <f t="array" aca="1" ref="L499" ca="1">_xlfn.IFS(D499&gt;=85,"A", D499&gt;=70,"B", D499&gt;=50,"C", D499&lt;50,"D")</f>
        <v>C</v>
      </c>
      <c r="M499" t="str">
        <f t="shared" ca="1" si="79"/>
        <v>Medium</v>
      </c>
    </row>
    <row r="500" spans="1:13" x14ac:dyDescent="0.3">
      <c r="A500" t="s">
        <v>542</v>
      </c>
      <c r="B500" t="str">
        <f t="shared" ca="1" si="70"/>
        <v>10-B</v>
      </c>
      <c r="C500" t="str">
        <f t="shared" ca="1" si="71"/>
        <v>Math</v>
      </c>
      <c r="D500">
        <f t="shared" ca="1" si="72"/>
        <v>74</v>
      </c>
      <c r="E500">
        <v>100</v>
      </c>
      <c r="F500">
        <f t="shared" ca="1" si="73"/>
        <v>90</v>
      </c>
      <c r="G500" t="str">
        <f t="shared" ca="1" si="74"/>
        <v>None</v>
      </c>
      <c r="H500" t="str">
        <f t="shared" ca="1" si="75"/>
        <v>Yes</v>
      </c>
      <c r="I500" t="str">
        <f t="shared" ca="1" si="76"/>
        <v>Yes</v>
      </c>
      <c r="J500" t="str">
        <f t="shared" ca="1" si="77"/>
        <v>Low</v>
      </c>
      <c r="K500" t="str">
        <f t="shared" ca="1" si="78"/>
        <v>Pass</v>
      </c>
      <c r="L500" s="4" t="str" cm="1">
        <f t="array" aca="1" ref="L500" ca="1">_xlfn.IFS(D500&gt;=85,"A", D500&gt;=70,"B", D500&gt;=50,"C", D500&lt;50,"D")</f>
        <v>B</v>
      </c>
      <c r="M500" t="str">
        <f t="shared" ca="1" si="79"/>
        <v>High</v>
      </c>
    </row>
    <row r="501" spans="1:13" x14ac:dyDescent="0.3">
      <c r="A501" t="s">
        <v>543</v>
      </c>
      <c r="B501" t="str">
        <f t="shared" ca="1" si="70"/>
        <v>10-C</v>
      </c>
      <c r="C501" t="str">
        <f t="shared" ca="1" si="71"/>
        <v>English</v>
      </c>
      <c r="D501">
        <f t="shared" ca="1" si="72"/>
        <v>67.400000000000006</v>
      </c>
      <c r="E501">
        <v>100</v>
      </c>
      <c r="F501">
        <f t="shared" ca="1" si="73"/>
        <v>94</v>
      </c>
      <c r="G501" t="str">
        <f t="shared" ca="1" si="74"/>
        <v>None</v>
      </c>
      <c r="H501" t="str">
        <f t="shared" ca="1" si="75"/>
        <v>Yes</v>
      </c>
      <c r="I501" t="str">
        <f t="shared" ca="1" si="76"/>
        <v>No</v>
      </c>
      <c r="J501" t="str">
        <f t="shared" ca="1" si="77"/>
        <v>High</v>
      </c>
      <c r="K501" t="str">
        <f t="shared" ca="1" si="78"/>
        <v>Pass</v>
      </c>
      <c r="L501" s="4" t="str" cm="1">
        <f t="array" aca="1" ref="L501" ca="1">_xlfn.IFS(D501&gt;=85,"A", D501&gt;=70,"B", D501&gt;=50,"C", D501&lt;50,"D")</f>
        <v>C</v>
      </c>
      <c r="M501" t="str">
        <f t="shared" ca="1" si="79"/>
        <v>High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Dashboard</vt:lpstr>
      <vt:lpstr>Detail1</vt:lpstr>
      <vt:lpstr>Detail2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sharma</dc:creator>
  <cp:lastModifiedBy>krishna sharma</cp:lastModifiedBy>
  <dcterms:created xsi:type="dcterms:W3CDTF">2026-02-10T08:23:46Z</dcterms:created>
  <dcterms:modified xsi:type="dcterms:W3CDTF">2026-02-25T17:40:30Z</dcterms:modified>
</cp:coreProperties>
</file>